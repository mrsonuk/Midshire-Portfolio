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atus" sheetId="2" state="visible" r:id="rId2"/>
    <sheet xmlns:r="http://schemas.openxmlformats.org/officeDocument/2006/relationships" name="Overview" sheetId="3" state="visible" r:id="rId3"/>
    <sheet xmlns:r="http://schemas.openxmlformats.org/officeDocument/2006/relationships" name="Areas" sheetId="4" state="visible" r:id="rId4"/>
    <sheet xmlns:r="http://schemas.openxmlformats.org/officeDocument/2006/relationships" name="Rota" sheetId="5" state="visible" r:id="rId5"/>
    <sheet xmlns:r="http://schemas.openxmlformats.org/officeDocument/2006/relationships" name="Capacity" sheetId="6" state="visible" r:id="rId6"/>
    <sheet xmlns:r="http://schemas.openxmlformats.org/officeDocument/2006/relationships" name="Arrivals" sheetId="7" state="visible" r:id="rId7"/>
    <sheet xmlns:r="http://schemas.openxmlformats.org/officeDocument/2006/relationships" name="AcuityMix" sheetId="8" state="visible" r:id="rId8"/>
    <sheet xmlns:r="http://schemas.openxmlformats.org/officeDocument/2006/relationships" name="Investigations" sheetId="9" state="visible" r:id="rId9"/>
    <sheet xmlns:r="http://schemas.openxmlformats.org/officeDocument/2006/relationships" name="Costs" sheetId="10" state="visible" r:id="rId10"/>
    <sheet xmlns:r="http://schemas.openxmlformats.org/officeDocument/2006/relationships" name="ServiceTimes" sheetId="11" state="visible" r:id="rId11"/>
    <sheet xmlns:r="http://schemas.openxmlformats.org/officeDocument/2006/relationships" name="Validation" sheetId="12" state="visible" r:id="rId12"/>
    <sheet xmlns:r="http://schemas.openxmlformats.org/officeDocument/2006/relationships" name="SDEC_Detail" sheetId="13" state="visible" r:id="rId13"/>
    <sheet xmlns:r="http://schemas.openxmlformats.org/officeDocument/2006/relationships" name="NotYetModelled" sheetId="14" state="visible" r:id="rId14"/>
    <sheet xmlns:r="http://schemas.openxmlformats.org/officeDocument/2006/relationships" name="Sourc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FFFFFF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7E6E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0" fillId="4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1" fillId="4" borderId="0" pivotButton="0" quotePrefix="0" xfId="0"/>
    <xf numFmtId="0" fontId="1" fillId="7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CAMBRIDGE (CUH / RGT) ED SET-UP WORKBOOK, filled from CHEQS batches 1-2 (13 Aug 2026)</t>
        </is>
      </c>
    </row>
    <row r="2">
      <c r="A2" t="inlineStr">
        <is>
          <t>Upload this file on 'Set up my ED' and the product stands up the Cambridge build.</t>
        </is>
      </c>
    </row>
    <row r="3">
      <c r="A3" s="1" t="inlineStr">
        <is>
          <t>&gt;&gt; START ON THE "Status" TAB. It is the single register of what is real, what is a modelled</t>
        </is>
      </c>
    </row>
    <row r="4">
      <c r="A4" t="inlineStr">
        <is>
          <t xml:space="preserve">   assumption, and what we still need from CUH or the ops team. Everything else is detail.</t>
        </is>
      </c>
    </row>
    <row r="6">
      <c r="A6" t="inlineStr">
        <is>
          <t>What is already filled in, computed from CUH's own extracts under data/cuh/:</t>
        </is>
      </c>
    </row>
    <row r="7">
      <c r="A7" t="inlineStr">
        <is>
          <t xml:space="preserve">  Overview: attendances 400.5/day, 1,068 beds, 89.26% occupancy (published, cited)</t>
        </is>
      </c>
    </row>
    <row r="8">
      <c r="A8" t="inlineStr">
        <is>
          <t xml:space="preserve">  Arrivals: the real hour-of-arrival shape from May-Aug 2026, scaled to 400.5/day</t>
        </is>
      </c>
    </row>
    <row r="9">
      <c r="A9" t="inlineStr">
        <is>
          <t xml:space="preserve">  AcuityMix: the real area mix Feb-Jul 2026 mapped to acuity bands</t>
        </is>
      </c>
    </row>
    <row r="10">
      <c r="A10" t="inlineStr">
        <is>
          <t xml:space="preserve">  On upload, the ODS code also pulls in the ambulance share, admission rates and</t>
        </is>
      </c>
    </row>
    <row r="11">
      <c r="A11" t="inlineStr">
        <is>
          <t xml:space="preserve">  paediatric and mental-health shares from the committed CUH aggregates.</t>
        </is>
      </c>
    </row>
    <row r="12">
      <c r="A12" t="inlineStr">
        <is>
          <t xml:space="preserve">  Investigations: REAL CT (0.183) and X-ray (0.392) workload per attendance from</t>
        </is>
      </c>
    </row>
    <row r="13">
      <c r="A13" t="inlineStr">
        <is>
          <t xml:space="preserve">  CHEQS batch 2 - this REPLACES an invented imaging routing, and is applied on</t>
        </is>
      </c>
    </row>
    <row r="14">
      <c r="A14" t="inlineStr">
        <is>
          <t xml:space="preserve">  upload. Batch 2 also adds the Validation tab (50 real weeks of 4-hour and</t>
        </is>
      </c>
    </row>
    <row r="15">
      <c r="A15" t="inlineStr">
        <is>
          <t xml:space="preserve">  12-hour performance) and NotYetModelled (day-of-week discharges).</t>
        </is>
      </c>
    </row>
    <row r="17">
      <c r="A17" t="inlineStr">
        <is>
          <t>What is still an assumption (marked in each tab's status column) and will be</t>
        </is>
      </c>
    </row>
    <row r="18">
      <c r="A18" t="inlineStr">
        <is>
          <t>replaced when CUH supplies the actual values:</t>
        </is>
      </c>
    </row>
    <row r="19">
      <c r="A19" t="inlineStr">
        <is>
          <t xml:space="preserve">  Areas and opening hours, physical capacity counts, rota, community capacity,</t>
        </is>
      </c>
    </row>
    <row r="20">
      <c r="A20" t="inlineStr">
        <is>
          <t xml:space="preserve">  service times (calibrate against the observed 52.93% instead).</t>
        </is>
      </c>
    </row>
    <row r="22">
      <c r="A22" t="inlineStr">
        <is>
          <t>The Sources tab lists every value, its status and its exact source file.</t>
        </is>
      </c>
    </row>
    <row r="23">
      <c r="A23" t="inlineStr">
        <is>
          <t>Validation targets are never typed into the model; the model is judged against</t>
        </is>
      </c>
    </row>
    <row r="24">
      <c r="A24" t="inlineStr">
        <is>
          <t>them after set-up. See the Validation tab - and mind the counting basis: CUH's</t>
        </is>
      </c>
    </row>
    <row r="25">
      <c r="A25" t="inlineStr">
        <is>
          <t>internal 4-hour basis (60.9%) sits ~7 points above the published Type 1 52.93%.</t>
        </is>
      </c>
    </row>
    <row r="27">
      <c r="A27" t="inlineStr">
        <is>
          <t>Full file-by-file provenance: docs/CUH_DATA_LOG.md in the repository.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20" customWidth="1" min="3" max="3"/>
    <col width="34" customWidth="1" min="4" max="4"/>
    <col width="78" customWidth="1" min="5" max="5"/>
  </cols>
  <sheetData>
    <row r="1">
      <c r="A1" s="2" t="inlineStr">
        <is>
          <t>CAMBRIDGE (RGT) BUILD - WHAT IS REAL, WHAT IS ASSUMED, WHAT WE STILL NEED</t>
        </is>
      </c>
    </row>
    <row r="2">
      <c r="A2" t="inlineStr">
        <is>
          <t>Green = real data.  Amber = a modelled assumption.  Red = we need it from CUH or the ops team.  Grey = real but the engine cannot use it yet.</t>
        </is>
      </c>
    </row>
    <row r="4">
      <c r="A4" s="3" t="inlineStr">
        <is>
          <t>Model input</t>
        </is>
      </c>
      <c r="B4" s="3" t="inlineStr">
        <is>
          <t>Why it matters</t>
        </is>
      </c>
      <c r="C4" s="3" t="inlineStr">
        <is>
          <t>Status</t>
        </is>
      </c>
      <c r="D4" s="3" t="inlineStr">
        <is>
          <t>Value in the model now</t>
        </is>
      </c>
      <c r="E4" s="3" t="inlineStr">
        <is>
          <t>Source, or what we still need</t>
        </is>
      </c>
    </row>
    <row r="5">
      <c r="A5" s="4" t="inlineStr">
        <is>
          <t>--- DEPARTMENT SET-UP ---</t>
        </is>
      </c>
      <c r="B5" s="5" t="inlineStr"/>
      <c r="C5" s="5" t="inlineStr"/>
      <c r="D5" s="5" t="inlineStr"/>
      <c r="E5" s="5" t="inlineStr"/>
    </row>
    <row r="6">
      <c r="A6" s="6" t="inlineStr">
        <is>
          <t>Attendances per day</t>
        </is>
      </c>
      <c r="B6" s="6" t="inlineStr">
        <is>
          <t>Sets total demand</t>
        </is>
      </c>
      <c r="C6" s="7" t="inlineStr">
        <is>
          <t>REAL - published</t>
        </is>
      </c>
      <c r="D6" s="6" t="inlineStr">
        <is>
          <t>400.5/day</t>
        </is>
      </c>
      <c r="E6" s="6" t="inlineStr">
        <is>
          <t>NHSE monthly A&amp;E June 2026, Type 1 (data/June-2026-CSV-Wfg38l.csv)</t>
        </is>
      </c>
    </row>
    <row r="7">
      <c r="A7" s="6" t="inlineStr">
        <is>
          <t>Inpatient beds</t>
        </is>
      </c>
      <c r="B7" s="6" t="inlineStr">
        <is>
          <t>Bed stock the ED admits into</t>
        </is>
      </c>
      <c r="C7" s="7" t="inlineStr">
        <is>
          <t>REAL - published</t>
        </is>
      </c>
      <c r="D7" s="6" t="inlineStr">
        <is>
          <t>1,068</t>
        </is>
      </c>
      <c r="E7" s="6" t="inlineStr">
        <is>
          <t>KH03 Q4 2025-26 G&amp;A overnight available</t>
        </is>
      </c>
    </row>
    <row r="8">
      <c r="A8" s="6" t="inlineStr">
        <is>
          <t>Bed occupancy</t>
        </is>
      </c>
      <c r="B8" s="6" t="inlineStr">
        <is>
          <t>Drives exit block</t>
        </is>
      </c>
      <c r="C8" s="7" t="inlineStr">
        <is>
          <t>REAL - published</t>
        </is>
      </c>
      <c r="D8" s="6" t="inlineStr">
        <is>
          <t>89.26%</t>
        </is>
      </c>
      <c r="E8" s="6" t="inlineStr">
        <is>
          <t>KH03 Q4 2025-26. UEC SitRep corroborates at 90%</t>
        </is>
      </c>
    </row>
    <row r="9">
      <c r="A9" s="6" t="inlineStr">
        <is>
          <t>Community / virtual ward capacity</t>
        </is>
      </c>
      <c r="B9" s="6" t="inlineStr">
        <is>
          <t>Discharge alternative to admission</t>
        </is>
      </c>
      <c r="C9" s="7" t="inlineStr">
        <is>
          <t>REAL - CUH ops</t>
        </is>
      </c>
      <c r="D9" s="6" t="inlineStr">
        <is>
          <t>1/day</t>
        </is>
      </c>
      <c r="E9" s="6" t="inlineStr">
        <is>
          <t>CUH ops 20 Aug 2026. VIRTUAL WARD ONLY, and mostly step-down not ED admission avoidance - so ED-facing community capacity is effectively nil (template assumed 60)</t>
        </is>
      </c>
    </row>
    <row r="10">
      <c r="A10" s="6" t="inlineStr">
        <is>
          <t>Which areas CUH runs</t>
        </is>
      </c>
      <c r="B10" s="6" t="inlineStr">
        <is>
          <t>Routing, before any number matters</t>
        </is>
      </c>
      <c r="C10" s="7" t="inlineStr">
        <is>
          <t>REAL - CUH ops</t>
        </is>
      </c>
      <c r="D10" s="6" t="inlineStr">
        <is>
          <t>6 of 9 areas on</t>
        </is>
      </c>
      <c r="E10" s="6" t="inlineStr">
        <is>
          <t>CUH ops: RAT, UTC, fit-to-sit, paeds, SDEC, frailty ON. EEMAC (trial only), CDU (none) and MH area (none) are OFF</t>
        </is>
      </c>
    </row>
    <row r="11">
      <c r="A11" s="6" t="inlineStr">
        <is>
          <t>Opening hours per area</t>
        </is>
      </c>
      <c r="B11" s="6" t="inlineStr">
        <is>
          <t>When each area can take patients</t>
        </is>
      </c>
      <c r="C11" s="7" t="inlineStr">
        <is>
          <t>REAL - CUH ops</t>
        </is>
      </c>
      <c r="D11" s="6" t="inlineStr">
        <is>
          <t>fit-to-sit/paeds/SDEC now 24/7</t>
        </is>
      </c>
      <c r="E11" s="6" t="inlineStr">
        <is>
          <t>CUH ops. Template had fit-to-sit and paeds 08-22 and SDEC 08-20 - all three are actually 24/7. UTC 08:00-00:30. FRAILTY HOURS STILL UNKNOWN</t>
        </is>
      </c>
    </row>
    <row r="12">
      <c r="A12" s="6" t="inlineStr">
        <is>
          <t>Physical capacity (cubicles, bays, beds)</t>
        </is>
      </c>
      <c r="B12" s="6" t="inlineStr">
        <is>
          <t>SETS THE QUEUES - biggest single gap</t>
        </is>
      </c>
      <c r="C12" s="7" t="inlineStr">
        <is>
          <t>REAL - CUH ops</t>
        </is>
      </c>
      <c r="D12" s="6" t="inlineStr">
        <is>
          <t>34 cubicles, 6 resus, 15 UTC rooms</t>
        </is>
      </c>
      <c r="E12" s="6" t="inlineStr">
        <is>
          <t>CUH ops. Also 12 paeds cubicles, 8 fit-to-sit chairs, 3 CT, 3 X-ray, 3 handover bays, 60 SDEC chairs (derived). STILL NEEDED: frailty/FAU beds, and Clinic 23/24/PSU SDEC capacity</t>
        </is>
      </c>
    </row>
    <row r="13">
      <c r="A13" s="6" t="inlineStr">
        <is>
          <t>Rota / staffing</t>
        </is>
      </c>
      <c r="B13" s="6" t="inlineStr">
        <is>
          <t>Who is on shift</t>
        </is>
      </c>
      <c r="C13" s="10" t="inlineStr">
        <is>
          <t>OUT OF SCOPE</t>
        </is>
      </c>
      <c r="D13" s="6" t="inlineStr">
        <is>
          <t>template rota</t>
        </is>
      </c>
      <c r="E13" s="6" t="inlineStr">
        <is>
          <t>Agreed out of scope for this build</t>
        </is>
      </c>
    </row>
    <row r="14">
      <c r="A14" s="4" t="inlineStr">
        <is>
          <t>--- DEMAND DISTRIBUTIONS (all auto-applied by ODS code) ---</t>
        </is>
      </c>
      <c r="B14" s="5" t="inlineStr"/>
      <c r="C14" s="5" t="inlineStr"/>
      <c r="D14" s="5" t="inlineStr"/>
      <c r="E14" s="5" t="inlineStr"/>
    </row>
    <row r="15">
      <c r="A15" s="6" t="inlineStr">
        <is>
          <t>Arrivals by hour of day</t>
        </is>
      </c>
      <c r="B15" s="6" t="inlineStr">
        <is>
          <t>24-hour arrival shape</t>
        </is>
      </c>
      <c r="C15" s="7" t="inlineStr">
        <is>
          <t>REAL - CUH extract</t>
        </is>
      </c>
      <c r="D15" s="6" t="inlineStr">
        <is>
          <t>24 values, sums to 400.5</t>
        </is>
      </c>
      <c r="E15" s="6" t="inlineStr">
        <is>
          <t>data/cuh/Arrivals and departures by hour May to Aug 26.xlsx (46,132 arrivals)</t>
        </is>
      </c>
    </row>
    <row r="16">
      <c r="A16" s="6" t="inlineStr">
        <is>
          <t>Acuity mix</t>
        </is>
      </c>
      <c r="B16" s="6" t="inlineStr">
        <is>
          <t>Who arrives, how sick</t>
        </is>
      </c>
      <c r="C16" s="7" t="inlineStr">
        <is>
          <t>REAL - CUH extract</t>
        </is>
      </c>
      <c r="D16" s="6" t="inlineStr">
        <is>
          <t>2.51 / 18.88 / 42.21 / 36.41 / 0</t>
        </is>
      </c>
      <c r="E16" s="6" t="inlineStr">
        <is>
          <t>AREA-PROXY: resus=A1, trolleys=A2, ambulant=A3, minors=A4. A5 set to 0, not invented. NEED: attendances by triage category to replace the proxy</t>
        </is>
      </c>
    </row>
    <row r="17">
      <c r="A17" s="6" t="inlineStr">
        <is>
          <t>Ambulance share</t>
        </is>
      </c>
      <c r="B17" s="6" t="inlineStr">
        <is>
          <t>Splits the ambulance stream</t>
        </is>
      </c>
      <c r="C17" s="7" t="inlineStr">
        <is>
          <t>REAL - CUH extract</t>
        </is>
      </c>
      <c r="D17" s="6" t="inlineStr">
        <is>
          <t>19.14%</t>
        </is>
      </c>
      <c r="E17" s="6" t="inlineStr">
        <is>
          <t>data/cuh/Arrivals Ambulance May to Aug 2026.xlsx (8,830 / 46,132)</t>
        </is>
      </c>
    </row>
    <row r="18">
      <c r="A18" s="6" t="inlineStr">
        <is>
          <t>Paediatric share</t>
        </is>
      </c>
      <c r="B18" s="6" t="inlineStr">
        <is>
          <t>Routes children to the paeds area</t>
        </is>
      </c>
      <c r="C18" s="7" t="inlineStr">
        <is>
          <t>REAL - CUH extract</t>
        </is>
      </c>
      <c r="D18" s="6" t="inlineStr">
        <is>
          <t>13.35%</t>
        </is>
      </c>
      <c r="E18" s="6" t="inlineStr">
        <is>
          <t>data/cuh/Performance Paeds.xlsx. CUH confirmed 13 Aug 2026 that paeds ARE in CHEQS as their own area</t>
        </is>
      </c>
    </row>
    <row r="19">
      <c r="A19" s="6" t="inlineStr">
        <is>
          <t>Mental-health share</t>
        </is>
      </c>
      <c r="B19" s="6" t="inlineStr">
        <is>
          <t>Routes to MH liaison</t>
        </is>
      </c>
      <c r="C19" s="7" t="inlineStr">
        <is>
          <t>REAL - published</t>
        </is>
      </c>
      <c r="D19" s="6" t="inlineStr">
        <is>
          <t>2.57%</t>
        </is>
      </c>
      <c r="E19" s="6" t="inlineStr">
        <is>
          <t>ECDS June 2026. CUH extract corroborates at 2.28%</t>
        </is>
      </c>
    </row>
    <row r="20">
      <c r="A20" s="6" t="inlineStr">
        <is>
          <t>Admission rate by acuity</t>
        </is>
      </c>
      <c r="B20" s="6" t="inlineStr">
        <is>
          <t>Drives admissions and exit block</t>
        </is>
      </c>
      <c r="C20" s="7" t="inlineStr">
        <is>
          <t>REAL - CUH extract</t>
        </is>
      </c>
      <c r="D20" s="6" t="inlineStr">
        <is>
          <t>74.3 / 56.0 / 4.2 / 0.05%</t>
        </is>
      </c>
      <c r="E20" s="6" t="inlineStr">
        <is>
          <t>data/cuh/Performance *.xlsx, Total Adm / Total Att Feb-Jul 2026</t>
        </is>
      </c>
    </row>
    <row r="21">
      <c r="A21" s="6" t="inlineStr">
        <is>
          <t>CT per attendance</t>
        </is>
      </c>
      <c r="B21" s="6" t="inlineStr">
        <is>
          <t>Loads the CT scanner</t>
        </is>
      </c>
      <c r="C21" s="7" t="inlineStr">
        <is>
          <t>REAL - CUH extract</t>
        </is>
      </c>
      <c r="D21" s="6" t="inlineStr">
        <is>
          <t>0.1828</t>
        </is>
      </c>
      <c r="E21" s="6" t="inlineStr">
        <is>
          <t>data/cuh/Investigation types.xlsx. WORKLOAD not proportion. NEED: does the extract include SDEC? and distinct visits with &gt;=1 scan</t>
        </is>
      </c>
    </row>
    <row r="22">
      <c r="A22" s="6" t="inlineStr">
        <is>
          <t>X-ray per attendance</t>
        </is>
      </c>
      <c r="B22" s="6" t="inlineStr">
        <is>
          <t>Loads the X-ray room</t>
        </is>
      </c>
      <c r="C22" s="7" t="inlineStr">
        <is>
          <t>REAL - CUH extract</t>
        </is>
      </c>
      <c r="D22" s="6" t="inlineStr">
        <is>
          <t>0.3918</t>
        </is>
      </c>
      <c r="E22" s="6" t="inlineStr">
        <is>
          <t>Same file and same two questions as CT</t>
        </is>
      </c>
    </row>
    <row r="23">
      <c r="A23" s="6" t="inlineStr">
        <is>
          <t>Arrivals per AREA by hour</t>
        </is>
      </c>
      <c r="B23" s="6" t="inlineStr">
        <is>
          <t>Per-area arrival shape</t>
        </is>
      </c>
      <c r="C23" s="9" t="inlineStr">
        <is>
          <t>NEED FROM CUH</t>
        </is>
      </c>
      <c r="D23" s="6" t="inlineStr">
        <is>
          <t>one department-wide shape for every area</t>
        </is>
      </c>
      <c r="E23" s="6" t="inlineStr">
        <is>
          <t>Still outstanding. The file sent (Arrivals area by hour.xlsx) has NO hourly split - six area totals only</t>
        </is>
      </c>
    </row>
    <row r="24">
      <c r="A24" s="4" t="inlineStr">
        <is>
          <t>--- SERVICE TIMES ---</t>
        </is>
      </c>
      <c r="B24" s="5" t="inlineStr"/>
      <c r="C24" s="5" t="inlineStr"/>
      <c r="D24" s="5" t="inlineStr"/>
      <c r="E24" s="5" t="inlineStr"/>
    </row>
    <row r="25">
      <c r="A25" s="6" t="inlineStr">
        <is>
          <t>Per-stage service times (27 stages)</t>
        </is>
      </c>
      <c r="B25" s="6" t="inlineStr">
        <is>
          <t>How long each step takes</t>
        </is>
      </c>
      <c r="C25" s="8" t="inlineStr">
        <is>
          <t>ASSUMPTION</t>
        </is>
      </c>
      <c r="D25" s="6" t="inlineStr">
        <is>
          <t>template, auto-calibrated</t>
        </is>
      </c>
      <c r="E25" s="6" t="inlineStr">
        <is>
          <t>Never published and not derivable from the extracts. Auto-calibrated against the observed 4-hour figure. CUH stage medians in data/cuh/Performance *.xlsx are the sense-check</t>
        </is>
      </c>
    </row>
    <row r="26">
      <c r="A26" s="4" t="inlineStr">
        <is>
          <t>--- VALIDATION TARGETS (never inputs - the model is judged against these) ---</t>
        </is>
      </c>
      <c r="B26" s="5" t="inlineStr"/>
      <c r="C26" s="5" t="inlineStr"/>
      <c r="D26" s="5" t="inlineStr"/>
      <c r="E26" s="5" t="inlineStr"/>
    </row>
    <row r="27">
      <c r="A27" s="6" t="inlineStr">
        <is>
          <t>4-hour performance (published)</t>
        </is>
      </c>
      <c r="B27" s="6" t="inlineStr">
        <is>
          <t>Headline standard</t>
        </is>
      </c>
      <c r="C27" s="7" t="inlineStr">
        <is>
          <t>REAL - published</t>
        </is>
      </c>
      <c r="D27" s="6" t="inlineStr">
        <is>
          <t>52.93%</t>
        </is>
      </c>
      <c r="E27" s="6" t="inlineStr">
        <is>
          <t>NHSE monthly A&amp;E June 2026, Type 1</t>
        </is>
      </c>
    </row>
    <row r="28">
      <c r="A28" s="6" t="inlineStr">
        <is>
          <t>4-hour performance (CUH internal)</t>
        </is>
      </c>
      <c r="B28" s="6" t="inlineStr">
        <is>
          <t>Real week-to-week spread</t>
        </is>
      </c>
      <c r="C28" s="7" t="inlineStr">
        <is>
          <t>REAL - CUH extract</t>
        </is>
      </c>
      <c r="D28" s="6" t="inlineStr">
        <is>
          <t>60.88% typical, 69.5 best, 54.7 worst</t>
        </is>
      </c>
      <c r="E28" s="6" t="inlineStr">
        <is>
          <t>data/cuh/4-hour perf.xlsx, 50 weeks. INTERNAL BASIS - ~7 pts above the published Type 1 series</t>
        </is>
      </c>
    </row>
    <row r="29">
      <c r="A29" s="6" t="inlineStr">
        <is>
          <t>12-hour waits (DTA basis)</t>
        </is>
      </c>
      <c r="B29" s="6" t="inlineStr">
        <is>
          <t>What the model measures</t>
        </is>
      </c>
      <c r="C29" s="7" t="inlineStr">
        <is>
          <t>REAL - published</t>
        </is>
      </c>
      <c r="D29" s="6" t="inlineStr">
        <is>
          <t>3.7%</t>
        </is>
      </c>
      <c r="E29" s="6" t="inlineStr">
        <is>
          <t>NHSE June 2026, 12+ hrs from decision to admit</t>
        </is>
      </c>
    </row>
    <row r="30">
      <c r="A30" s="6" t="inlineStr">
        <is>
          <t>12-hour waits (from arrival)</t>
        </is>
      </c>
      <c r="B30" s="6" t="inlineStr">
        <is>
          <t>Different measure, do not mix</t>
        </is>
      </c>
      <c r="C30" s="7" t="inlineStr">
        <is>
          <t>REAL - CUH extract</t>
        </is>
      </c>
      <c r="D30" s="6" t="inlineStr">
        <is>
          <t>9.98% typical, 3.3 best, 13.1 worst</t>
        </is>
      </c>
      <c r="E30" s="6" t="inlineStr">
        <is>
          <t>data/cuh/12-hour perf.xlsx, 50 weeks. FROM ARRIVAL - roughly 3x the DTA basis</t>
        </is>
      </c>
    </row>
    <row r="31">
      <c r="A31" s="6" t="inlineStr">
        <is>
          <t>Ambulance handover within 45 min</t>
        </is>
      </c>
      <c r="B31" s="6" t="inlineStr">
        <is>
          <t>Handover tile</t>
        </is>
      </c>
      <c r="C31" s="7" t="inlineStr">
        <is>
          <t>REAL - published</t>
        </is>
      </c>
      <c r="D31" s="6" t="inlineStr">
        <is>
          <t>84.19%</t>
        </is>
      </c>
      <c r="E31" s="6" t="inlineStr">
        <is>
          <t>NHSE UEC SitRep ambulance collection. WINTER ONLY (24 Nov-29 Mar), so tough end of the year</t>
        </is>
      </c>
    </row>
    <row r="32">
      <c r="A32" s="6" t="inlineStr">
        <is>
          <t>MH admission rate</t>
        </is>
      </c>
      <c r="B32" s="6" t="inlineStr">
        <is>
          <t>MH pathway check</t>
        </is>
      </c>
      <c r="C32" s="7" t="inlineStr">
        <is>
          <t>REAL - CUH extract</t>
        </is>
      </c>
      <c r="D32" s="6" t="inlineStr">
        <is>
          <t>18.28%</t>
        </is>
      </c>
      <c r="E32" s="6" t="inlineStr">
        <is>
          <t>data/cuh/MH Disposals.xlsx (195 of 1,067)</t>
        </is>
      </c>
    </row>
    <row r="33">
      <c r="A33" s="6" t="inlineStr">
        <is>
          <t>MH did-not-wait rate</t>
        </is>
      </c>
      <c r="B33" s="6" t="inlineStr">
        <is>
          <t>Only real anchor for walk-outs</t>
        </is>
      </c>
      <c r="C33" s="7" t="inlineStr">
        <is>
          <t>REAL - CUH extract</t>
        </is>
      </c>
      <c r="D33" s="6" t="inlineStr">
        <is>
          <t>12.18%</t>
        </is>
      </c>
      <c r="E33" s="6" t="inlineStr">
        <is>
          <t>data/cuh/MH Disposals.xlsx (130 of 1,067). No department-wide LWBS exists - not published nationally</t>
        </is>
      </c>
    </row>
    <row r="34">
      <c r="A34" s="6" t="inlineStr">
        <is>
          <t>Time in department by area</t>
        </is>
      </c>
      <c r="B34" s="6" t="inlineStr">
        <is>
          <t>LOS check</t>
        </is>
      </c>
      <c r="C34" s="7" t="inlineStr">
        <is>
          <t>REAL - CUH extract</t>
        </is>
      </c>
      <c r="D34" s="6" t="inlineStr">
        <is>
          <t>median + 95th, 6 areas</t>
        </is>
      </c>
      <c r="E34" s="6" t="inlineStr">
        <is>
          <t>data/cuh/TID *.xlsx, June 2026</t>
        </is>
      </c>
    </row>
    <row r="35">
      <c r="A35" s="4" t="inlineStr">
        <is>
          <t>--- REAL DATA THE ENGINE CANNOT YET USE ---</t>
        </is>
      </c>
      <c r="B35" s="5" t="inlineStr"/>
      <c r="C35" s="5" t="inlineStr"/>
      <c r="D35" s="5" t="inlineStr"/>
      <c r="E35" s="5" t="inlineStr"/>
    </row>
    <row r="36">
      <c r="A36" s="6" t="inlineStr">
        <is>
          <t>Trust discharges by day of week</t>
        </is>
      </c>
      <c r="B36" s="6" t="inlineStr">
        <is>
          <t>Sunday is 29% of Monday</t>
        </is>
      </c>
      <c r="C36" s="10" t="inlineStr">
        <is>
          <t>NOT MODELLED</t>
        </is>
      </c>
      <c r="D36" s="6" t="inlineStr">
        <is>
          <t>-</t>
        </is>
      </c>
      <c r="E36" s="6" t="inlineStr">
        <is>
          <t>data/cuh/Discharges by day.xlsx. Engine has NO day-of-week dimension. Highest-value engine change. ALSO NEED: what period does this cover?</t>
        </is>
      </c>
    </row>
    <row r="37">
      <c r="A37" s="6" t="inlineStr">
        <is>
          <t>Long-stay bed mix</t>
        </is>
      </c>
      <c r="B37" s="6" t="inlineStr">
        <is>
          <t>60% of beds held by 7+ day stayers</t>
        </is>
      </c>
      <c r="C37" s="10" t="inlineStr">
        <is>
          <t>NOT MODELLED</t>
        </is>
      </c>
      <c r="D37" s="6" t="inlineStr">
        <is>
          <t>-</t>
        </is>
      </c>
      <c r="E37" s="6" t="inlineStr">
        <is>
          <t>UEC SitRep Apr-Jun 2026 (7+ 60%, 14+ 38%, 21+ 27%). SD model has no long-stay compartment - the real brake on bed turnover</t>
        </is>
      </c>
    </row>
    <row r="38">
      <c r="A38" s="6" t="inlineStr">
        <is>
          <t>Escalation beds</t>
        </is>
      </c>
      <c r="B38" s="6" t="inlineStr">
        <is>
          <t>Surge capacity above core</t>
        </is>
      </c>
      <c r="C38" s="10" t="inlineStr">
        <is>
          <t>NOT MODELLED</t>
        </is>
      </c>
      <c r="D38" s="6" t="inlineStr">
        <is>
          <t>-</t>
        </is>
      </c>
      <c r="E38" s="6" t="inlineStr">
        <is>
          <t>UEC SitRep: 11.76 on top of 1,086.67 core. Model has a single flat bed number</t>
        </is>
      </c>
    </row>
    <row r="39">
      <c r="A39" s="6" t="inlineStr">
        <is>
          <t>Frailty scoring</t>
        </is>
      </c>
      <c r="B39" s="6" t="inlineStr">
        <is>
          <t>Would drive the frailty unit</t>
        </is>
      </c>
      <c r="C39" s="10" t="inlineStr">
        <is>
          <t>NOT MODELLED</t>
        </is>
      </c>
      <c r="D39" s="6" t="inlineStr">
        <is>
          <t>-</t>
        </is>
      </c>
      <c r="E39" s="6" t="inlineStr">
        <is>
          <t>DEAD END: CUH records NO CFS score in ECDS - 100% "not recorded". Cannot be calibrated. Told CUH as a data-quality note</t>
        </is>
      </c>
    </row>
    <row r="40">
      <c r="A40" s="6" t="inlineStr">
        <is>
          <t>Procedure / investigation mix</t>
        </is>
      </c>
      <c r="B40" s="6" t="inlineStr">
        <is>
          <t>Pathology and turnaround</t>
        </is>
      </c>
      <c r="C40" s="10" t="inlineStr">
        <is>
          <t>NOT MODELLED</t>
        </is>
      </c>
      <c r="D40" s="6" t="inlineStr">
        <is>
          <t>-</t>
        </is>
      </c>
      <c r="E40" s="6" t="inlineStr">
        <is>
          <t>data/cuh/Procedure type.xlsx + Investigation types.xlsx. No procedure seam exists</t>
        </is>
      </c>
    </row>
    <row r="41">
      <c r="A41" s="6" t="inlineStr">
        <is>
          <t>Patient moves between areas</t>
        </is>
      </c>
      <c r="B41" s="6" t="inlineStr">
        <is>
          <t>Assessment-unit LOS</t>
        </is>
      </c>
      <c r="C41" s="10" t="inlineStr">
        <is>
          <t>NOT MODELLED</t>
        </is>
      </c>
      <c r="D41" s="6" t="inlineStr">
        <is>
          <t>-</t>
        </is>
      </c>
      <c r="E41" s="6" t="inlineStr">
        <is>
          <t>data/cuh/Patient moves 4 weeks (deidentified).xlsx. Feeds downstream checks only</t>
        </is>
      </c>
    </row>
    <row r="43">
      <c r="A43" s="14" t="inlineStr">
        <is>
          <t>--- ADDED BY THE CUH OPS RETURN (20 Aug 2026) ---</t>
        </is>
      </c>
      <c r="B43" s="14" t="inlineStr"/>
      <c r="C43" s="14" t="inlineStr"/>
      <c r="D43" s="14" t="inlineStr"/>
      <c r="E43" s="14" t="inlineStr"/>
    </row>
    <row r="44">
      <c r="A44" t="inlineStr">
        <is>
          <t>ED minor-injury spaces</t>
        </is>
      </c>
      <c r="B44" t="inlineStr">
        <is>
          <t>Where minors are actually seen</t>
        </is>
      </c>
      <c r="C44" s="16" t="inlineStr">
        <is>
          <t>REAL - CUH ops</t>
        </is>
      </c>
      <c r="D44" t="inlineStr">
        <is>
          <t>0 - minors seen in the UTC</t>
        </is>
      </c>
      <c r="E44" t="inlineStr">
        <is>
          <t>CONFIGURED: the explicit 0 removes the ED minors node; Acuity 4/5 stream to the UTC (08:00-00:30 approx as 8-24), overnight to the 24/7 fit-to-sit area (LABELLED ASSUMPTION - ask CUH where overnight minors go). Was DECISION NEEDED</t>
        </is>
      </c>
    </row>
    <row r="45">
      <c r="A45" t="inlineStr">
        <is>
          <t>SDEC chairs</t>
        </is>
      </c>
      <c r="B45" t="inlineStr">
        <is>
          <t>Streaming capacity out of majors</t>
        </is>
      </c>
      <c r="C45" s="16" t="inlineStr">
        <is>
          <t>REAL - CUH ops</t>
        </is>
      </c>
      <c r="D45" t="inlineStr">
        <is>
          <t>60 (EAU3 30 + SAU 30)</t>
        </is>
      </c>
      <c r="E45" t="inlineStr">
        <is>
          <t>See SDEC_Detail tab. EAU4 excluded (93-96% full), Clinic 5 excluded (0.5% of its attendances come from ED). Simulation shows chairs are NOT the binding constraint - reverting to 12 moved the 4-hour figure 0.0 points, which independently reproduces the deck conclusion</t>
        </is>
      </c>
    </row>
    <row r="46">
      <c r="A46" t="inlineStr">
        <is>
          <t>Corridor capacity</t>
        </is>
      </c>
      <c r="B46" t="inlineStr">
        <is>
          <t>Escalation space</t>
        </is>
      </c>
      <c r="C46" s="17" t="inlineStr">
        <is>
          <t>NOT MODELLED</t>
        </is>
      </c>
      <c r="D46" t="inlineStr">
        <is>
          <t>-</t>
        </is>
      </c>
      <c r="E46" t="inlineStr">
        <is>
          <t>CUH reports 5 corridor spaces (2 ambulance bay, 3 corridor). The model has no corridor-care concept</t>
        </is>
      </c>
    </row>
    <row r="47">
      <c r="A47" t="inlineStr">
        <is>
          <t>CT/X-ray exclusivity</t>
        </is>
      </c>
      <c r="B47" t="inlineStr">
        <is>
          <t>Imaging queueing</t>
        </is>
      </c>
      <c r="C47" s="18" t="inlineStr">
        <is>
          <t>ASSUMPTION</t>
        </is>
      </c>
      <c r="D47" t="inlineStr">
        <is>
          <t>3 CT, 3 X-ray treated as ED-available</t>
        </is>
      </c>
      <c r="E47" t="inlineStr">
        <is>
          <t>CUH note: ED does NOT have exclusive use - CT is shared with all inpatient facilities. The model treats them as ED resources, so imaging queues are optimistic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source</t>
        </is>
      </c>
    </row>
    <row r="2">
      <c r="A2" t="inlineStr">
        <is>
          <t>name</t>
        </is>
      </c>
      <c r="B2" t="inlineStr">
        <is>
          <t>Cambridge University Hospitals NHS Foundation Trust</t>
        </is>
      </c>
      <c r="C2" t="inlineStr">
        <is>
          <t>Trust name</t>
        </is>
      </c>
    </row>
    <row r="3">
      <c r="A3" t="inlineStr">
        <is>
          <t>ods_code</t>
        </is>
      </c>
      <c r="B3" t="inlineStr">
        <is>
          <t>RGT</t>
        </is>
      </c>
      <c r="C3" t="inlineStr">
        <is>
          <t>NHS ODS code (links the set-up to published figures and the CUH extracts)</t>
        </is>
      </c>
    </row>
    <row r="4">
      <c r="A4" t="inlineStr">
        <is>
          <t>attendances_per_day</t>
        </is>
      </c>
      <c r="B4" t="n">
        <v>400.5</v>
      </c>
      <c r="C4" t="inlineStr">
        <is>
          <t>REAL, published: NHSE monthly A&amp;E June 2026 (data/June-2026-CSV-Wfg38l.csv row RGT, 12,015 Type 1 / 30). CUH's own area counts run ~11% higher on a different counting basis, see docs/CUH_DATA_LOG.md</t>
        </is>
      </c>
    </row>
    <row r="5">
      <c r="A5" t="inlineStr">
        <is>
          <t>inpatient_beds</t>
        </is>
      </c>
      <c r="B5" t="n">
        <v>1068</v>
      </c>
      <c r="C5" t="inlineStr">
        <is>
          <t>REAL, published: KH03 Q4 2025-26 (data/Beds-Open-Overnight-Web_File-Q4-2025-26.xlsx row RGT, G&amp;A overnight available 1,067.6)</t>
        </is>
      </c>
    </row>
    <row r="6">
      <c r="A6" t="inlineStr">
        <is>
          <t>community_capacity</t>
        </is>
      </c>
      <c r="B6" s="11" t="n">
        <v>1</v>
      </c>
      <c r="C6" t="inlineStr">
        <is>
          <t>REAL: 1/day (template assumed 60). CUH note: the number is VIRTUAL WARD ONLY, and the virtual ward is mostly step-down after discharge, not admission avoidance from ED - so ED-facing community capacity is effectively nil</t>
        </is>
      </c>
    </row>
    <row r="7">
      <c r="A7" t="inlineStr">
        <is>
          <t>baseline_bed_occupancy</t>
        </is>
      </c>
      <c r="B7" t="n">
        <v>0.8925999999999999</v>
      </c>
      <c r="C7" t="inlineStr">
        <is>
          <t>REAL, published: KH03 Q4 2025-26, G&amp;A occupied 952.9 / available 1,067.6</t>
        </is>
      </c>
    </row>
    <row r="8">
      <c r="A8" t="inlineStr">
        <is>
          <t># attendances/beds/occupancy: LEAVE BLANK - filled from published NHS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area_key</t>
        </is>
      </c>
      <c r="B1" t="inlineStr">
        <is>
          <t>enabled (yes/no)</t>
        </is>
      </c>
      <c r="C1" t="inlineStr">
        <is>
          <t>open_hour</t>
        </is>
      </c>
      <c r="D1" t="inlineStr">
        <is>
          <t>close_hour</t>
        </is>
      </c>
      <c r="E1" t="inlineStr">
        <is>
          <t>description</t>
        </is>
      </c>
      <c r="F1" t="inlineStr">
        <is>
          <t>status</t>
        </is>
      </c>
    </row>
    <row r="2">
      <c r="A2" t="inlineStr">
        <is>
          <t>rat</t>
        </is>
      </c>
      <c r="B2" s="11" t="inlineStr">
        <is>
          <t>yes</t>
        </is>
      </c>
      <c r="C2" t="n">
        <v>0</v>
      </c>
      <c r="D2" t="n">
        <v>24</v>
      </c>
      <c r="E2" t="inlineStr">
        <is>
          <t>Rapid Assessment &amp; Treatment (RAT)</t>
        </is>
      </c>
      <c r="F2" t="inlineStr">
        <is>
          <t>REAL: 24/7. At CUH RAT assesses AMBULANCE ARRIVALS ONLY - and the model now matches: ambulance patients route to RAT by attribute, walk-ins go direct to their treatment areas. (Routing every walk-in through RAT was unstable at the real acuity mix - 20-hour queue artefact, fixed 20 Aug 2026.)</t>
        </is>
      </c>
    </row>
    <row r="3">
      <c r="A3" t="inlineStr">
        <is>
          <t>utc</t>
        </is>
      </c>
      <c r="B3" s="11" t="inlineStr">
        <is>
          <t>yes</t>
        </is>
      </c>
      <c r="C3" t="n">
        <v>8</v>
      </c>
      <c r="D3" t="n">
        <v>24</v>
      </c>
      <c r="E3" t="inlineStr">
        <is>
          <t>Co-located Urgent Treatment Centre</t>
        </is>
      </c>
      <c r="F3" t="inlineStr">
        <is>
          <t>REAL: two streams - minor injuries 08:00-00:30, GP stream 08:00-22:30. Modelled as the wider envelope</t>
        </is>
      </c>
    </row>
    <row r="4">
      <c r="A4" t="inlineStr">
        <is>
          <t>fit_to_sit</t>
        </is>
      </c>
      <c r="B4" s="11" t="inlineStr">
        <is>
          <t>yes</t>
        </is>
      </c>
      <c r="C4" t="n">
        <v>0</v>
      </c>
      <c r="D4" t="n">
        <v>24</v>
      </c>
      <c r="E4" t="inlineStr">
        <is>
          <t>Ambulatory ‘fit to sit’ area</t>
        </is>
      </c>
      <c r="F4" t="inlineStr">
        <is>
          <t>REAL: 24/7, independent of waiting-room capacity (template assumed 08-22)</t>
        </is>
      </c>
    </row>
    <row r="5">
      <c r="A5" t="inlineStr">
        <is>
          <t>paeds</t>
        </is>
      </c>
      <c r="B5" s="11" t="inlineStr">
        <is>
          <t>yes</t>
        </is>
      </c>
      <c r="C5" t="n">
        <v>0</v>
      </c>
      <c r="D5" t="n">
        <v>24</v>
      </c>
      <c r="E5" t="inlineStr">
        <is>
          <t>Children’s area / PAU</t>
        </is>
      </c>
      <c r="F5" t="inlineStr">
        <is>
          <t>REAL: paediatric ED 24/7. NO PAU (template assumed 08-22)</t>
        </is>
      </c>
    </row>
    <row r="6">
      <c r="A6" t="inlineStr">
        <is>
          <t>eemac</t>
        </is>
      </c>
      <c r="B6" s="12" t="inlineStr">
        <is>
          <t>no</t>
        </is>
      </c>
      <c r="C6" t="n">
        <v>8</v>
      </c>
      <c r="D6" t="n">
        <v>24</v>
      </c>
      <c r="E6" t="inlineStr">
        <is>
          <t>EEMAC (extended emergency ambulatory care)</t>
        </is>
      </c>
      <c r="F6" t="inlineStr">
        <is>
          <t>REAL: NOT in operation - trial only. Pilot hours 08:00-00:00 and 22 spaces recorded so enabling EEMAC in Design my ED starts from the real pilot, not a guess</t>
        </is>
      </c>
    </row>
    <row r="7">
      <c r="A7" t="inlineStr">
        <is>
          <t>sdec</t>
        </is>
      </c>
      <c r="B7" s="11" t="inlineStr">
        <is>
          <t>yes</t>
        </is>
      </c>
      <c r="C7" t="n">
        <v>0</v>
      </c>
      <c r="D7" t="n">
        <v>24</v>
      </c>
      <c r="E7" t="inlineStr">
        <is>
          <t>Specialty Same-Day Emergency Care (SDEC)</t>
        </is>
      </c>
      <c r="F7" t="inlineStr">
        <is>
          <t>REAL: EAU3 and SAU run 24/7 and are the ED-facing units. Clinic 5/23/24/PSU are appointment-based with narrower hours</t>
        </is>
      </c>
    </row>
    <row r="8">
      <c r="A8" t="inlineStr">
        <is>
          <t>cdu</t>
        </is>
      </c>
      <c r="B8" s="12" t="inlineStr">
        <is>
          <t>no</t>
        </is>
      </c>
      <c r="E8" t="inlineStr">
        <is>
          <t>Clinical Decision Unit (CDU)</t>
        </is>
      </c>
      <c r="F8" t="inlineStr">
        <is>
          <t>REAL: NOT in operation - CUH runs no CDU</t>
        </is>
      </c>
    </row>
    <row r="9">
      <c r="A9" t="inlineStr">
        <is>
          <t>frailty</t>
        </is>
      </c>
      <c r="B9" s="11" t="inlineStr">
        <is>
          <t>yes</t>
        </is>
      </c>
      <c r="E9" t="inlineStr">
        <is>
          <t>Frailty unit (FAU)</t>
        </is>
      </c>
      <c r="F9" t="inlineStr">
        <is>
          <t>REAL: in operation, but HOURS STILL UNKNOWN - CUH to cross-check with the frailty team. Keeping template 08-18</t>
        </is>
      </c>
    </row>
    <row r="10">
      <c r="A10" t="inlineStr">
        <is>
          <t>mh</t>
        </is>
      </c>
      <c r="B10" s="12" t="inlineStr">
        <is>
          <t>no</t>
        </is>
      </c>
      <c r="E10" t="inlineStr">
        <is>
          <t>Mental-health liaison / MHED</t>
        </is>
      </c>
      <c r="F10" t="inlineStr">
        <is>
          <t>REAL: no dedicated MH assessment/liaison AREA (1 assessment room exists, but no area)</t>
        </is>
      </c>
    </row>
    <row r="11"/>
    <row r="12">
      <c r="A12" t="inlineStr">
        <is>
          <t># REQUIRED: answer yes/no for EVERY row; open/close hours 0-24 (24/7 = 0 and 24).</t>
        </is>
      </c>
    </row>
    <row r="13">
      <c r="A13" t="inlineStr">
        <is>
          <t># Default hours if you leave hours blank: rat 0-24, utc 8-24, fit_to_sit 8-22, paeds 8-22, eemac 8-22, sdec 8-20, cdu 0-24, frailty 8-18, mh 0-24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start</t>
        </is>
      </c>
      <c r="C1" t="inlineStr">
        <is>
          <t>end</t>
        </is>
      </c>
      <c r="D1" t="inlineStr">
        <is>
          <t>count</t>
        </is>
      </c>
    </row>
    <row r="2">
      <c r="A2" t="inlineStr">
        <is>
          <t># SKIP - workforce agreed out of scope for the first Cambridge build.</t>
        </is>
      </c>
    </row>
    <row r="3">
      <c r="A3" t="inlineStr">
        <is>
          <t># Staffing uses clearly-labelled template defaults until CUH offers rota data.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resource_key</t>
        </is>
      </c>
      <c r="B1" t="inlineStr">
        <is>
          <t>your_count</t>
        </is>
      </c>
      <c r="C1" t="inlineStr">
        <is>
          <t>template_default</t>
        </is>
      </c>
      <c r="D1" t="inlineStr">
        <is>
          <t>belongs to</t>
        </is>
      </c>
      <c r="E1" t="inlineStr">
        <is>
          <t>status</t>
        </is>
      </c>
    </row>
    <row r="2">
      <c r="A2" t="inlineStr">
        <is>
          <t>utc_room</t>
        </is>
      </c>
      <c r="B2" s="11" t="n">
        <v>15</v>
      </c>
      <c r="C2" t="n">
        <v>8</v>
      </c>
      <c r="D2" t="inlineStr">
        <is>
          <t>Co-located Urgent Treatment Centre</t>
        </is>
      </c>
      <c r="E2" t="inlineStr">
        <is>
          <t>REAL: 15 UTC consultation/treatment rooms. CUH note: not staffed to use all simultaneously</t>
        </is>
      </c>
    </row>
    <row r="3">
      <c r="A3" t="inlineStr">
        <is>
          <t>minor_injury_space</t>
        </is>
      </c>
      <c r="B3" s="11" t="n">
        <v>0</v>
      </c>
      <c r="C3" t="n">
        <v>6</v>
      </c>
      <c r="D3" t="inlineStr">
        <is>
          <t>Core ED (always present)</t>
        </is>
      </c>
      <c r="E3" t="inlineStr">
        <is>
          <t>REAL: 0 - minor injuries are seen in the UTC, not the ED. The explicit 0 now REMOVES the ED minors node: minors stream to the UTC in its open hours, and overnight (UTC shut) divert to the 24/7 fit-to-sit area - a LABELLED ASSUMPTION until CUH says where overnight minors actually go</t>
        </is>
      </c>
    </row>
    <row r="4">
      <c r="A4" t="inlineStr">
        <is>
          <t>fit_to_sit_chair</t>
        </is>
      </c>
      <c r="B4" s="11" t="n">
        <v>8</v>
      </c>
      <c r="C4" t="n">
        <v>12</v>
      </c>
      <c r="D4" t="inlineStr">
        <is>
          <t>Ambulatory ‘fit to sit’ area</t>
        </is>
      </c>
      <c r="E4" t="inlineStr">
        <is>
          <t>REAL: 8 fit-to-sit chairs (template assumed 12)</t>
        </is>
      </c>
    </row>
    <row r="5">
      <c r="A5" t="inlineStr">
        <is>
          <t>cubicle</t>
        </is>
      </c>
      <c r="B5" s="11" t="n">
        <v>34</v>
      </c>
      <c r="C5" t="n">
        <v>24</v>
      </c>
      <c r="D5" t="inlineStr">
        <is>
          <t>Core ED (always present)</t>
        </is>
      </c>
      <c r="E5" t="inlineStr">
        <is>
          <t>REAL: 34 majors cubicles / trolley spaces, EXCLUDING resus and ambulance bay (template assumed 24)</t>
        </is>
      </c>
    </row>
    <row r="6">
      <c r="A6" t="inlineStr">
        <is>
          <t>resus_bay</t>
        </is>
      </c>
      <c r="B6" s="11" t="n">
        <v>6</v>
      </c>
      <c r="C6" t="n">
        <v>5</v>
      </c>
      <c r="D6" t="inlineStr">
        <is>
          <t>Core ED (always present)</t>
        </is>
      </c>
      <c r="E6" t="inlineStr">
        <is>
          <t>REAL: 6 resus bays. Res-05 counted among majors, not here</t>
        </is>
      </c>
    </row>
    <row r="7">
      <c r="A7" t="inlineStr">
        <is>
          <t>paeds_cubicle</t>
        </is>
      </c>
      <c r="B7" s="11" t="n">
        <v>12</v>
      </c>
      <c r="C7" t="n">
        <v>10</v>
      </c>
      <c r="D7" t="inlineStr">
        <is>
          <t>Children’s area / PAU</t>
        </is>
      </c>
      <c r="E7" t="inlineStr">
        <is>
          <t>REAL: 12 paediatric cubicles, all paediatric ED, no PAU</t>
        </is>
      </c>
    </row>
    <row r="8">
      <c r="A8" t="inlineStr">
        <is>
          <t>ct_scanner</t>
        </is>
      </c>
      <c r="B8" s="11" t="n">
        <v>3</v>
      </c>
      <c r="C8" t="n">
        <v>2</v>
      </c>
      <c r="D8" t="inlineStr">
        <is>
          <t>Core ED (always present)</t>
        </is>
      </c>
      <c r="E8" t="inlineStr">
        <is>
          <t>REAL: 3 CT scanners reachable by ED - NOT exclusive to ED, shared with all inpatient facilities, so effective ED access is lower</t>
        </is>
      </c>
    </row>
    <row r="9">
      <c r="A9" t="inlineStr">
        <is>
          <t>xray_room</t>
        </is>
      </c>
      <c r="B9" s="11" t="n">
        <v>3</v>
      </c>
      <c r="C9" t="n">
        <v>3</v>
      </c>
      <c r="D9" t="inlineStr">
        <is>
          <t>Core ED (always present)</t>
        </is>
      </c>
      <c r="E9" t="inlineStr">
        <is>
          <t>REAL: 3 plain X-ray rooms (2 main ED, 1 UCC)</t>
        </is>
      </c>
    </row>
    <row r="10">
      <c r="A10" t="inlineStr">
        <is>
          <t>eemac_space</t>
        </is>
      </c>
      <c r="B10" s="11" t="n">
        <v>22</v>
      </c>
      <c r="C10" t="n">
        <v>10</v>
      </c>
      <c r="D10" t="inlineStr">
        <is>
          <t>EEMAC (extended emergency ambulatory care)</t>
        </is>
      </c>
      <c r="E10" t="inlineStr">
        <is>
          <t>REAL pilot capacity: 22 spaces, piloted 08:00-00:00. The area is OFF, so this count is inert today - but if CUH enables EEMAC in Design my ED it opens at the real pilot size, not a template guess</t>
        </is>
      </c>
    </row>
    <row r="11">
      <c r="A11" t="inlineStr">
        <is>
          <t>sdec_chair</t>
        </is>
      </c>
      <c r="B11" s="11" t="n">
        <v>60</v>
      </c>
      <c r="C11" t="n">
        <v>12</v>
      </c>
      <c r="D11" t="inlineStr">
        <is>
          <t>Specialty Same-Day Emergency Care (SDEC)</t>
        </is>
      </c>
      <c r="E11" t="inlineStr">
        <is>
          <t>DERIVED from CUH capacity + the SDEC deck: EAU3 30 + SAU 30 = 60 ED-facing SDEC chairs. EAU4 (28) excluded - 93-96% occupied continuously. Clinic 5 excluded - only 0.5% of its attendances come from ED</t>
        </is>
      </c>
    </row>
    <row r="12">
      <c r="A12" t="inlineStr">
        <is>
          <t>cdu_bed</t>
        </is>
      </c>
      <c r="C12" t="n">
        <v>8</v>
      </c>
      <c r="D12" t="inlineStr">
        <is>
          <t>Clinical Decision Unit (CDU)</t>
        </is>
      </c>
      <c r="E12" t="inlineStr">
        <is>
          <t>CUH runs no CDU - the Areas tab (cdu: no) carries that fact. Deliberately BLANK here: an explicit 0 would floor to a fake 1-bed queue if CDU were ever enabled in Design my ED; blank keeps the template 8 as a LABELLED ASSUMPTION in that case</t>
        </is>
      </c>
    </row>
    <row r="13">
      <c r="A13" t="inlineStr">
        <is>
          <t>fau_bed</t>
        </is>
      </c>
      <c r="B13" s="12" t="n"/>
      <c r="C13" t="n">
        <v>12</v>
      </c>
      <c r="D13" t="inlineStr">
        <is>
          <t>Frailty unit (FAU)</t>
        </is>
      </c>
      <c r="E13" t="inlineStr">
        <is>
          <t>STILL NEEDED: CUH marked *** - needs discussion with the frailty team. Keeping template 12</t>
        </is>
      </c>
    </row>
    <row r="14">
      <c r="A14" t="inlineStr">
        <is>
          <t>mh_assessment_room</t>
        </is>
      </c>
      <c r="B14" s="11" t="n">
        <v>1</v>
      </c>
      <c r="C14" t="n">
        <v>4</v>
      </c>
      <c r="D14" t="inlineStr">
        <is>
          <t>Mental-health liaison / MHED</t>
        </is>
      </c>
      <c r="E14" t="inlineStr">
        <is>
          <t>REAL: 1 MH assessment room (but no MH area in operation, so this is moot until the area exists)</t>
        </is>
      </c>
    </row>
    <row r="15">
      <c r="A15" t="inlineStr">
        <is>
          <t>handover_bay</t>
        </is>
      </c>
      <c r="B15" s="11" t="n">
        <v>3</v>
      </c>
      <c r="C15" t="n">
        <v>5</v>
      </c>
      <c r="D15" t="inlineStr">
        <is>
          <t>Core ED (always present)</t>
        </is>
      </c>
      <c r="E15" t="inlineStr">
        <is>
          <t>REAL: 3 ambulance handover bays (template assumed 5). Separately, 5 corridor spaces exist - 2 ambulance bay, 3 corridor - which the model does not represent</t>
        </is>
      </c>
    </row>
    <row r="17">
      <c r="A17" t="inlineStr">
        <is>
          <t># Your REAL physical counts. Blank = keep a size-scaled template</t>
        </is>
      </c>
    </row>
    <row r="18">
      <c r="A18" t="inlineStr">
        <is>
          <t># estimate (a modelled assumption, flagged as such in the product).</t>
        </is>
      </c>
    </row>
    <row r="19">
      <c r="A19" t="inlineStr">
        <is>
          <t># REQUIRED: fill your_count for every resource that exists; leave blank only</t>
        </is>
      </c>
    </row>
    <row r="20">
      <c r="A20" t="inlineStr">
        <is>
          <t># if you truly don't know - blanks stay size-scaled template estimates,</t>
        </is>
      </c>
    </row>
    <row r="21">
      <c r="A21" t="inlineStr">
        <is>
          <t># flagged as assumptions on every screen.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attendances</t>
        </is>
      </c>
      <c r="C1" t="inlineStr">
        <is>
          <t>source</t>
        </is>
      </c>
    </row>
    <row r="2">
      <c r="A2" t="n">
        <v>0</v>
      </c>
      <c r="B2" t="n">
        <v>7.93</v>
      </c>
      <c r="C2" t="inlineStr">
        <is>
          <t>CUH CHEQS extract: data/cuh/Arrivals and departures by hour May to Aug 26.xlsx (hour share of 46,132 arrivals) x 400.5/day (NHSE June 2026 publication)</t>
        </is>
      </c>
    </row>
    <row r="3">
      <c r="A3" t="n">
        <v>1</v>
      </c>
      <c r="B3" t="n">
        <v>6.19</v>
      </c>
      <c r="C3" t="inlineStr">
        <is>
          <t>REAL shape: totals per hour over May-Aug 2026, ED front door excluding direct-to-SDEC referrals, scaled to the published 400.5/day</t>
        </is>
      </c>
    </row>
    <row r="4">
      <c r="A4" t="n">
        <v>2</v>
      </c>
      <c r="B4" t="n">
        <v>4.37</v>
      </c>
    </row>
    <row r="5">
      <c r="A5" t="n">
        <v>3</v>
      </c>
      <c r="B5" t="n">
        <v>4.5</v>
      </c>
    </row>
    <row r="6">
      <c r="A6" t="n">
        <v>4</v>
      </c>
      <c r="B6" t="n">
        <v>4.38</v>
      </c>
    </row>
    <row r="7">
      <c r="A7" t="n">
        <v>5</v>
      </c>
      <c r="B7" t="n">
        <v>4.38</v>
      </c>
    </row>
    <row r="8">
      <c r="A8" t="n">
        <v>6</v>
      </c>
      <c r="B8" t="n">
        <v>4.79</v>
      </c>
    </row>
    <row r="9">
      <c r="A9" t="n">
        <v>7</v>
      </c>
      <c r="B9" t="n">
        <v>7.68</v>
      </c>
    </row>
    <row r="10">
      <c r="A10" t="n">
        <v>8</v>
      </c>
      <c r="B10" t="n">
        <v>13.73</v>
      </c>
    </row>
    <row r="11">
      <c r="A11" t="n">
        <v>9</v>
      </c>
      <c r="B11" t="n">
        <v>21.68</v>
      </c>
    </row>
    <row r="12">
      <c r="A12" t="n">
        <v>10</v>
      </c>
      <c r="B12" t="n">
        <v>26.08</v>
      </c>
    </row>
    <row r="13">
      <c r="A13" t="n">
        <v>11</v>
      </c>
      <c r="B13" t="n">
        <v>27.76</v>
      </c>
    </row>
    <row r="14">
      <c r="A14" t="n">
        <v>12</v>
      </c>
      <c r="B14" t="n">
        <v>28.75</v>
      </c>
    </row>
    <row r="15">
      <c r="A15" t="n">
        <v>13</v>
      </c>
      <c r="B15" t="n">
        <v>26.33</v>
      </c>
    </row>
    <row r="16">
      <c r="A16" t="n">
        <v>14</v>
      </c>
      <c r="B16" t="n">
        <v>24.59</v>
      </c>
    </row>
    <row r="17">
      <c r="A17" t="n">
        <v>15</v>
      </c>
      <c r="B17" t="n">
        <v>23.01</v>
      </c>
    </row>
    <row r="18">
      <c r="A18" t="n">
        <v>16</v>
      </c>
      <c r="B18" t="n">
        <v>25.56</v>
      </c>
    </row>
    <row r="19">
      <c r="A19" t="n">
        <v>17</v>
      </c>
      <c r="B19" t="n">
        <v>23.93</v>
      </c>
    </row>
    <row r="20">
      <c r="A20" t="n">
        <v>18</v>
      </c>
      <c r="B20" t="n">
        <v>24.78</v>
      </c>
    </row>
    <row r="21">
      <c r="A21" t="n">
        <v>19</v>
      </c>
      <c r="B21" t="n">
        <v>23.79</v>
      </c>
    </row>
    <row r="22">
      <c r="A22" t="n">
        <v>20</v>
      </c>
      <c r="B22" t="n">
        <v>22.56</v>
      </c>
    </row>
    <row r="23">
      <c r="A23" t="n">
        <v>21</v>
      </c>
      <c r="B23" t="n">
        <v>17.87</v>
      </c>
    </row>
    <row r="24">
      <c r="A24" t="n">
        <v>22</v>
      </c>
      <c r="B24" t="n">
        <v>14.66</v>
      </c>
    </row>
    <row r="25">
      <c r="A25" t="n">
        <v>23</v>
      </c>
      <c r="B25" t="n">
        <v>11.2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acuity</t>
        </is>
      </c>
      <c r="B1" t="inlineStr">
        <is>
          <t>share</t>
        </is>
      </c>
      <c r="C1" t="inlineStr">
        <is>
          <t>source</t>
        </is>
      </c>
    </row>
    <row r="2">
      <c r="A2" t="inlineStr">
        <is>
          <t>Acuity 1</t>
        </is>
      </c>
      <c r="B2" t="n">
        <v>2.51</v>
      </c>
      <c r="C2" t="inlineStr">
        <is>
          <t>CUH CHEQS extract: data/cuh/Performance Resus / Majors Trolleys / Majors Ambulant / Minors .xlsx, Feb-Jul 2026, area-proxy mapping (resus=1, trolleys=2, majors ambulant=3, minors=4; SDEC and paeds routed separately)</t>
        </is>
      </c>
    </row>
    <row r="3">
      <c r="A3" t="inlineStr">
        <is>
          <t>Acuity 2</t>
        </is>
      </c>
      <c r="B3" t="n">
        <v>18.88</v>
      </c>
      <c r="C3" t="inlineStr">
        <is>
          <t>REAL: adult front-door attendances Feb-Jul 2026 were resus 1,754 / trolleys 13,211 / majors ambulant 29,544 / minors 25,481 (of 69,990)</t>
        </is>
      </c>
    </row>
    <row r="4">
      <c r="A4" t="inlineStr">
        <is>
          <t>Acuity 3</t>
        </is>
      </c>
      <c r="B4" t="n">
        <v>42.21</v>
      </c>
    </row>
    <row r="5">
      <c r="A5" t="inlineStr">
        <is>
          <t>Acuity 4</t>
        </is>
      </c>
      <c r="B5" t="n">
        <v>36.41</v>
      </c>
    </row>
    <row r="6">
      <c r="A6" t="inlineStr">
        <is>
          <t>Acuity 5</t>
        </is>
      </c>
      <c r="B6" t="n">
        <v>0</v>
      </c>
      <c r="C6" t="inlineStr">
        <is>
          <t>Acuity 5 is zero because CUH's extract is by area, not triage band; minors carries bands 4 and 5 together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per_attendance</t>
        </is>
      </c>
      <c r="C1" s="1" t="inlineStr">
        <is>
          <t>source</t>
        </is>
      </c>
    </row>
    <row r="2">
      <c r="A2" t="inlineStr">
        <is>
          <t>ct</t>
        </is>
      </c>
      <c r="B2" t="n">
        <v>0.1828</v>
      </c>
      <c r="C2" t="inlineStr">
        <is>
          <t>REAL CUH extract: data/cuh/Investigation types.xlsx - 8,065 CT (SNOMED 77477000) over the 14 complete weeks 10 May-9 Aug 2026, / 3,151 front-door attendances a week.</t>
        </is>
      </c>
    </row>
    <row r="3">
      <c r="A3" t="inlineStr">
        <is>
          <t>xray</t>
        </is>
      </c>
      <c r="B3" t="n">
        <v>0.3918</v>
      </c>
      <c r="C3" t="inlineStr">
        <is>
          <t>REAL CUH extract: same file - 17,284 plain radiography (SNOMED 168537006) over the same 14 weeks.</t>
        </is>
      </c>
    </row>
    <row r="4">
      <c r="A4" t="inlineStr">
        <is>
          <t># WORKLOAD per attendance, not the share of patients imaged: a patient</t>
        </is>
      </c>
    </row>
    <row r="5">
      <c r="A5" t="inlineStr">
        <is>
          <t># scanned twice counts twice. That is the right basis for a capacity model</t>
        </is>
      </c>
    </row>
    <row r="6">
      <c r="A6" t="inlineStr">
        <is>
          <t># (it reproduces demand on the CT scanner and X-ray room), but do NOT read</t>
        </is>
      </c>
    </row>
    <row r="7">
      <c r="A7" t="inlineStr">
        <is>
          <t># 0.39 as '39% of patients get an X-ray'.</t>
        </is>
      </c>
    </row>
    <row r="8">
      <c r="A8" t="inlineStr">
        <is>
          <t># Denominator = the 5-area front door (450.1/day, May-Jul 2026), which is the</t>
        </is>
      </c>
    </row>
    <row r="9">
      <c r="A9" t="inlineStr">
        <is>
          <t># population the model's imaging step serves. IF CUH's investigations extract</t>
        </is>
      </c>
    </row>
    <row r="10">
      <c r="A10" t="inlineStr">
        <is>
          <t># also counts SDEC activity, the right values are ct 0.139 / xray 0.297.</t>
        </is>
      </c>
    </row>
    <row r="11">
      <c r="A11" t="inlineStr">
        <is>
          <t># CUH TO CONFIRM which footprint the extract covers.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# cost book (£, editable planning assumptions)</t>
        </is>
      </c>
    </row>
    <row r="3">
      <c r="A3" t="inlineStr">
        <is>
          <t>admission_avoided</t>
        </is>
      </c>
    </row>
    <row r="4">
      <c r="A4" t="inlineStr">
        <is>
          <t>four_hour_breach</t>
        </is>
      </c>
    </row>
    <row r="5">
      <c r="A5" t="inlineStr">
        <is>
          <t>twelve_hour_breach</t>
        </is>
      </c>
    </row>
    <row r="6">
      <c r="A6" t="inlineStr">
        <is>
          <t>agency_premium</t>
        </is>
      </c>
    </row>
    <row r="7">
      <c r="A7" t="inlineStr">
        <is>
          <t>agency_share_pct</t>
        </is>
      </c>
    </row>
    <row r="8">
      <c r="A8" t="inlineStr">
        <is>
          <t># staff hourly rates (£/hour incl. on-costs)</t>
        </is>
      </c>
    </row>
    <row r="9">
      <c r="A9" t="inlineStr">
        <is>
          <t>streaming_nurse</t>
        </is>
      </c>
      <c r="C9" t="inlineStr">
        <is>
          <t>Streaming / triage nurse</t>
        </is>
      </c>
    </row>
    <row r="10">
      <c r="A10" t="inlineStr">
        <is>
          <t>rat_consultant</t>
        </is>
      </c>
      <c r="C10" t="inlineStr">
        <is>
          <t>RAT senior decision-maker</t>
        </is>
      </c>
    </row>
    <row r="11">
      <c r="A11" t="inlineStr">
        <is>
          <t>ed_consultant</t>
        </is>
      </c>
      <c r="C11" t="inlineStr">
        <is>
          <t>EM consultant</t>
        </is>
      </c>
    </row>
    <row r="12">
      <c r="A12" t="inlineStr">
        <is>
          <t>em_registrar</t>
        </is>
      </c>
      <c r="C12" t="inlineStr">
        <is>
          <t>EM registrar</t>
        </is>
      </c>
    </row>
    <row r="13">
      <c r="A13" t="inlineStr">
        <is>
          <t>em_sho</t>
        </is>
      </c>
      <c r="C13" t="inlineStr">
        <is>
          <t>EM junior doctor (SHO)</t>
        </is>
      </c>
    </row>
    <row r="14">
      <c r="A14" t="inlineStr">
        <is>
          <t>paeds_doctor</t>
        </is>
      </c>
      <c r="C14" t="inlineStr">
        <is>
          <t>Paediatric EM doctor</t>
        </is>
      </c>
    </row>
    <row r="15">
      <c r="A15" t="inlineStr">
        <is>
          <t>sdec_doctor</t>
        </is>
      </c>
      <c r="C15" t="inlineStr">
        <is>
          <t>Acute / specialty doctor (SDEC)</t>
        </is>
      </c>
    </row>
    <row r="16">
      <c r="A16" t="inlineStr">
        <is>
          <t>frailty_pract</t>
        </is>
      </c>
      <c r="C16" t="inlineStr">
        <is>
          <t>Frailty practitioner</t>
        </is>
      </c>
    </row>
    <row r="17">
      <c r="A17" t="inlineStr">
        <is>
          <t>mh_liaison</t>
        </is>
      </c>
      <c r="C17" t="inlineStr">
        <is>
          <t>Mental-health liaison clinician</t>
        </is>
      </c>
    </row>
    <row r="18">
      <c r="A18" t="inlineStr">
        <is>
          <t>band6_nurse</t>
        </is>
      </c>
      <c r="C18" t="inlineStr">
        <is>
          <t>ED nurse - Band 6</t>
        </is>
      </c>
    </row>
    <row r="19">
      <c r="A19" t="inlineStr">
        <is>
          <t>band5_nurse</t>
        </is>
      </c>
      <c r="C19" t="inlineStr">
        <is>
          <t>ED nurse - Band 5</t>
        </is>
      </c>
    </row>
    <row r="20">
      <c r="A20" t="inlineStr">
        <is>
          <t>enp</t>
        </is>
      </c>
      <c r="C20" t="inlineStr">
        <is>
          <t>Emergency nurse practitioner (minors)</t>
        </is>
      </c>
    </row>
    <row r="21">
      <c r="A21" t="inlineStr">
        <is>
          <t>hca</t>
        </is>
      </c>
      <c r="C21" t="inlineStr">
        <is>
          <t>Healthcare assistant</t>
        </is>
      </c>
    </row>
    <row r="22">
      <c r="A22" t="inlineStr">
        <is>
          <t>porter</t>
        </is>
      </c>
      <c r="C22" t="inlineStr">
        <is>
          <t>Porter / patient transport</t>
        </is>
      </c>
    </row>
    <row r="23">
      <c r="A23" t="inlineStr">
        <is>
          <t>receptionist</t>
        </is>
      </c>
      <c r="C23" t="inlineStr">
        <is>
          <t>Receptionist</t>
        </is>
      </c>
    </row>
    <row r="24">
      <c r="A24" t="inlineStr">
        <is>
          <t># SKIP for the first build - finance defaults used and labelled.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current_mean_min</t>
        </is>
      </c>
      <c r="C1" t="inlineStr">
        <is>
          <t>your_mean_min</t>
        </is>
      </c>
      <c r="D1" t="inlineStr">
        <is>
          <t>stage name</t>
        </is>
      </c>
      <c r="E1" t="inlineStr">
        <is>
          <t>status</t>
        </is>
      </c>
    </row>
    <row r="2">
      <c r="A2" t="inlineStr">
        <is>
          <t>service_scale</t>
        </is>
      </c>
      <c r="B2" t="n">
        <v>1</v>
      </c>
      <c r="D2" t="inlineStr">
        <is>
          <t>OPTIONAL: multiply ALL service times (e.g. 1.1)</t>
        </is>
      </c>
      <c r="E2" t="inlineStr">
        <is>
          <t>ASSUMPTION: leave your_mean_min blank to keep calibrated defaults. CUH stage medians (June 2026) are in data/cuh/Performance *.xlsx and rgt_published.json as the cross-check; use auto-calibrate against the observed 52.93% rather than typing medians in here</t>
        </is>
      </c>
    </row>
    <row r="3">
      <c r="A3" t="inlineStr">
        <is>
          <t>ambulance_handover</t>
        </is>
      </c>
      <c r="B3" t="n">
        <v>14</v>
      </c>
      <c r="D3" t="inlineStr">
        <is>
          <t>Ambulance handover</t>
        </is>
      </c>
    </row>
    <row r="4">
      <c r="A4" t="inlineStr">
        <is>
          <t>streaming</t>
        </is>
      </c>
      <c r="B4" t="n">
        <v>7</v>
      </c>
      <c r="D4" t="inlineStr">
        <is>
          <t>Streaming / initial assessment</t>
        </is>
      </c>
    </row>
    <row r="5">
      <c r="A5" t="inlineStr">
        <is>
          <t>direct_specialty_bypass</t>
        </is>
      </c>
      <c r="B5" t="n">
        <v>15</v>
      </c>
      <c r="D5" t="inlineStr">
        <is>
          <t>Direct to specialty (bypass)</t>
        </is>
      </c>
    </row>
    <row r="6">
      <c r="A6" t="inlineStr">
        <is>
          <t>rat</t>
        </is>
      </c>
      <c r="B6" t="n">
        <v>18</v>
      </c>
      <c r="D6" t="inlineStr">
        <is>
          <t>Rapid assessment &amp; treatment (RAT)</t>
        </is>
      </c>
    </row>
    <row r="7">
      <c r="A7" t="inlineStr">
        <is>
          <t>utc_minor_illness</t>
        </is>
      </c>
      <c r="B7" t="n">
        <v>28</v>
      </c>
      <c r="D7" t="inlineStr">
        <is>
          <t>UTC minor illness</t>
        </is>
      </c>
    </row>
    <row r="8">
      <c r="A8" t="inlineStr">
        <is>
          <t>ed_minor_injury</t>
        </is>
      </c>
      <c r="B8" t="n">
        <v>30</v>
      </c>
      <c r="D8" t="inlineStr">
        <is>
          <t>ED/UTC minor injury</t>
        </is>
      </c>
    </row>
    <row r="9">
      <c r="A9" t="inlineStr">
        <is>
          <t>ed_ambulatory</t>
        </is>
      </c>
      <c r="B9" t="n">
        <v>55</v>
      </c>
      <c r="D9" t="inlineStr">
        <is>
          <t>ED ambulatory (fit to sit)</t>
        </is>
      </c>
    </row>
    <row r="10">
      <c r="A10" t="inlineStr">
        <is>
          <t>ed_cubicles</t>
        </is>
      </c>
      <c r="B10" t="n">
        <v>80</v>
      </c>
      <c r="D10" t="inlineStr">
        <is>
          <t>ED cubicles</t>
        </is>
      </c>
    </row>
    <row r="11">
      <c r="A11" t="inlineStr">
        <is>
          <t>ed_resus</t>
        </is>
      </c>
      <c r="B11" t="n">
        <v>130</v>
      </c>
      <c r="D11" t="inlineStr">
        <is>
          <t>ED resus</t>
        </is>
      </c>
    </row>
    <row r="12">
      <c r="A12" t="inlineStr">
        <is>
          <t>paeds_assessment</t>
        </is>
      </c>
      <c r="B12" t="n">
        <v>35</v>
      </c>
      <c r="D12" t="inlineStr">
        <is>
          <t>Paediatric area</t>
        </is>
      </c>
    </row>
    <row r="13">
      <c r="A13" t="inlineStr">
        <is>
          <t>imaging_decision</t>
        </is>
      </c>
      <c r="B13" t="n">
        <v>0</v>
      </c>
      <c r="D13" t="inlineStr">
        <is>
          <t>Imaging decision</t>
        </is>
      </c>
    </row>
    <row r="14">
      <c r="A14" t="inlineStr">
        <is>
          <t>ct</t>
        </is>
      </c>
      <c r="B14" t="n">
        <v>45</v>
      </c>
      <c r="D14" t="inlineStr">
        <is>
          <t>CT scan</t>
        </is>
      </c>
    </row>
    <row r="15">
      <c r="A15" t="inlineStr">
        <is>
          <t>xray</t>
        </is>
      </c>
      <c r="B15" t="n">
        <v>26</v>
      </c>
      <c r="D15" t="inlineStr">
        <is>
          <t>X-ray</t>
        </is>
      </c>
    </row>
    <row r="16">
      <c r="A16" t="inlineStr">
        <is>
          <t>disposition</t>
        </is>
      </c>
      <c r="B16" t="n">
        <v>18</v>
      </c>
      <c r="D16" t="inlineStr">
        <is>
          <t>Clinical decision (4h)</t>
        </is>
      </c>
    </row>
    <row r="17">
      <c r="A17" t="inlineStr">
        <is>
          <t>disposition_general</t>
        </is>
      </c>
      <c r="B17" t="n">
        <v>0</v>
      </c>
      <c r="D17" t="inlineStr">
        <is>
          <t>Disposition</t>
        </is>
      </c>
    </row>
    <row r="18">
      <c r="A18" t="inlineStr">
        <is>
          <t>eemac</t>
        </is>
      </c>
      <c r="B18" t="n">
        <v>240</v>
      </c>
      <c r="D18" t="inlineStr">
        <is>
          <t>EEMAC (extended ambulatory)</t>
        </is>
      </c>
    </row>
    <row r="19">
      <c r="A19" t="inlineStr">
        <is>
          <t>eemac_outcome</t>
        </is>
      </c>
      <c r="B19" t="n">
        <v>0</v>
      </c>
      <c r="D19" t="inlineStr">
        <is>
          <t>EEMAC outcome</t>
        </is>
      </c>
    </row>
    <row r="20">
      <c r="A20" t="inlineStr">
        <is>
          <t>sdec</t>
        </is>
      </c>
      <c r="B20" t="n">
        <v>180</v>
      </c>
      <c r="D20" t="inlineStr">
        <is>
          <t>Specialty SDEC</t>
        </is>
      </c>
    </row>
    <row r="21">
      <c r="A21" t="inlineStr">
        <is>
          <t>sdec_outcome</t>
        </is>
      </c>
      <c r="B21" t="n">
        <v>0</v>
      </c>
      <c r="D21" t="inlineStr">
        <is>
          <t>SDEC outcome</t>
        </is>
      </c>
    </row>
    <row r="22">
      <c r="A22" t="inlineStr">
        <is>
          <t>cdu</t>
        </is>
      </c>
      <c r="B22" t="n">
        <v>300</v>
      </c>
      <c r="D22" t="inlineStr">
        <is>
          <t>Clinical decision unit</t>
        </is>
      </c>
    </row>
    <row r="23">
      <c r="A23" t="inlineStr">
        <is>
          <t>fau</t>
        </is>
      </c>
      <c r="B23" t="n">
        <v>150</v>
      </c>
      <c r="D23" t="inlineStr">
        <is>
          <t>Frailty assessment unit (FAU)</t>
        </is>
      </c>
    </row>
    <row r="24">
      <c r="A24" t="inlineStr">
        <is>
          <t>mh_liaison</t>
        </is>
      </c>
      <c r="B24" t="n">
        <v>60</v>
      </c>
      <c r="D24" t="inlineStr">
        <is>
          <t>Mental health liaison</t>
        </is>
      </c>
    </row>
    <row r="25">
      <c r="A25" t="inlineStr">
        <is>
          <t>await_inpatient_bed</t>
        </is>
      </c>
      <c r="B25" t="n">
        <v>70</v>
      </c>
      <c r="D25" t="inlineStr">
        <is>
          <t>Wait for inpatient bed</t>
        </is>
      </c>
    </row>
    <row r="26">
      <c r="A26" t="inlineStr">
        <is>
          <t>await_mh_bed</t>
        </is>
      </c>
      <c r="B26" t="n">
        <v>120</v>
      </c>
      <c r="D26" t="inlineStr">
        <is>
          <t>Wait for MH bed</t>
        </is>
      </c>
    </row>
    <row r="27">
      <c r="A27" t="inlineStr">
        <is>
          <t>community_referral</t>
        </is>
      </c>
      <c r="B27" t="n">
        <v>20</v>
      </c>
      <c r="D27" t="inlineStr">
        <is>
          <t>Refer to community / virtual ward</t>
        </is>
      </c>
    </row>
    <row r="28">
      <c r="A28" t="inlineStr">
        <is>
          <t>discharge</t>
        </is>
      </c>
      <c r="B28" t="n">
        <v>12</v>
      </c>
      <c r="D28" t="inlineStr">
        <is>
          <t>Discharge</t>
        </is>
      </c>
    </row>
    <row r="29">
      <c r="A29" t="inlineStr">
        <is>
          <t>transfer_to_ward</t>
        </is>
      </c>
      <c r="B29" t="n">
        <v>12</v>
      </c>
      <c r="D29" t="inlineStr">
        <is>
          <t>Transfer to 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typical</t>
        </is>
      </c>
      <c r="C1" s="1" t="inlineStr">
        <is>
          <t>good week</t>
        </is>
      </c>
      <c r="D1" s="1" t="inlineStr">
        <is>
          <t>tough week</t>
        </is>
      </c>
      <c r="E1" s="1" t="inlineStr">
        <is>
          <t>basis</t>
        </is>
      </c>
      <c r="F1" s="1" t="inlineStr">
        <is>
          <t>source</t>
        </is>
      </c>
    </row>
    <row r="2">
      <c r="A2" t="inlineStr">
        <is>
          <t>4-hour within (%)</t>
        </is>
      </c>
      <c r="B2" t="n">
        <v>60.88</v>
      </c>
      <c r="C2" t="n">
        <v>69.48999999999999</v>
      </c>
      <c r="D2" t="n">
        <v>54.7</v>
      </c>
      <c r="E2" t="inlineStr">
        <is>
          <t>CUH internal CHEQS basis - NOT the published Type 1 52.93%</t>
        </is>
      </c>
      <c r="F2" t="inlineStr">
        <is>
          <t>data/cuh/4-hour perf.xlsx, Site='CUH on-site', 50 weeks 7 Sep 2025-16 Aug 2026</t>
        </is>
      </c>
    </row>
    <row r="3">
      <c r="A3" t="inlineStr">
        <is>
          <t>12-hour over (%)</t>
        </is>
      </c>
      <c r="B3" t="n">
        <v>9.98</v>
      </c>
      <c r="C3" t="n">
        <v>3.31</v>
      </c>
      <c r="D3" t="n">
        <v>13.13</v>
      </c>
      <c r="E3" t="inlineStr">
        <is>
          <t>12 hours FROM ARRIVAL (ECDS basis) - NOT the DTA basis (3.7%)</t>
        </is>
      </c>
      <c r="F3" t="inlineStr">
        <is>
          <t>data/cuh/12-hour perf.xlsx, Site='CUH on-site', 50 weeks</t>
        </is>
      </c>
    </row>
    <row r="4">
      <c r="A4" t="inlineStr">
        <is>
          <t>MH admission rate (%)</t>
        </is>
      </c>
      <c r="B4" t="n">
        <v>18.28</v>
      </c>
      <c r="E4" t="inlineStr">
        <is>
          <t>mental-health attendances only</t>
        </is>
      </c>
      <c r="F4" t="inlineStr">
        <is>
          <t>data/cuh/MH Disposals.xlsx, 1,067 attendances over 104 days</t>
        </is>
      </c>
    </row>
    <row r="5">
      <c r="A5" t="inlineStr">
        <is>
          <t>MH did-not-wait (%)</t>
        </is>
      </c>
      <c r="B5" t="n">
        <v>12.18</v>
      </c>
      <c r="E5" t="inlineStr">
        <is>
          <t>MH patients leaving before being seen</t>
        </is>
      </c>
      <c r="F5" t="inlineStr">
        <is>
          <t>data/cuh/MH Disposals.xlsx (130 of 1,067)</t>
        </is>
      </c>
    </row>
    <row r="6">
      <c r="A6" t="inlineStr">
        <is>
          <t>Ambulance handover within 45 min (%)</t>
        </is>
      </c>
      <c r="B6" t="n">
        <v>84.19</v>
      </c>
      <c r="E6" t="inlineStr">
        <is>
          <t>NHSE UEC SitRep, winter only (24 Nov 25 - 29 Mar 26)</t>
        </is>
      </c>
      <c r="F6" t="inlineStr">
        <is>
          <t>data/Web-File-Timeseries-Ambulance-Collection-dpkj63.xlsx, row RGT - PUBLIC data, not CHEQS</t>
        </is>
      </c>
    </row>
    <row r="7">
      <c r="A7" t="inlineStr">
        <is>
          <t>Ambulance handover over 30 min (%)</t>
        </is>
      </c>
      <c r="B7" t="n">
        <v>22.45</v>
      </c>
      <c r="E7" t="inlineStr">
        <is>
          <t>same source; over 60 min is 13.14%</t>
        </is>
      </c>
      <c r="F7" t="inlineStr">
        <is>
          <t>denominator = 11,028 handovers with a known handover time (543 unknown excluded)</t>
        </is>
      </c>
    </row>
    <row r="8">
      <c r="A8" t="inlineStr">
        <is>
          <t># VALIDATION ONLY - never model inputs. The model is judged against these</t>
        </is>
      </c>
    </row>
    <row r="9">
      <c r="A9" t="inlineStr">
        <is>
          <t># after it runs. Read the basis column before comparing: CUH's internal</t>
        </is>
      </c>
    </row>
    <row r="10">
      <c r="A10" t="inlineStr">
        <is>
          <t># 4-hour basis sits ~7 points above the published Type 1 series, and the</t>
        </is>
      </c>
    </row>
    <row r="11">
      <c r="A11" t="inlineStr">
        <is>
          <t># 12-hour figures here are from-arrival, not decision-to-admit.</t>
        </is>
      </c>
    </row>
    <row r="12">
      <c r="A12" t="inlineStr">
        <is>
          <t># These 50 weeks are the first REAL good-week/tough-week spread the build</t>
        </is>
      </c>
    </row>
    <row r="13">
      <c r="A13" t="inlineStr">
        <is>
          <t># has had - the control tower's bands were simulated-only before.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44" customWidth="1" min="3" max="3"/>
    <col width="14" customWidth="1" min="4" max="4"/>
    <col width="28" customWidth="1" min="5" max="5"/>
    <col width="86" customWidth="1" min="6" max="6"/>
  </cols>
  <sheetData>
    <row r="1">
      <c r="A1" s="13" t="inlineStr">
        <is>
          <t>SDEC UNITS AT CUH - capacity, real occupancy, and whether ED can actually stream there</t>
        </is>
      </c>
    </row>
    <row r="2">
      <c r="A2" t="inlineStr">
        <is>
          <t>Source: CUH "SDEC Capacity &amp; ED Streaming" analysis, 13 July 2026 - CHEQS hourly occupancy, Jan-Jul 2026 (192 days).</t>
        </is>
      </c>
    </row>
    <row r="4">
      <c r="A4" s="3" t="inlineStr">
        <is>
          <t>Unit</t>
        </is>
      </c>
      <c r="B4" s="3" t="inlineStr">
        <is>
          <t>Stated capacity</t>
        </is>
      </c>
      <c r="C4" s="3" t="inlineStr">
        <is>
          <t>Observed occupancy</t>
        </is>
      </c>
      <c r="D4" s="3" t="inlineStr">
        <is>
          <t>ED-facing?</t>
        </is>
      </c>
      <c r="E4" s="3" t="inlineStr">
        <is>
          <t>In the model?</t>
        </is>
      </c>
      <c r="F4" s="3" t="inlineStr">
        <is>
          <t>Note</t>
        </is>
      </c>
    </row>
    <row r="5">
      <c r="A5" s="6" t="inlineStr">
        <is>
          <t>EAU3 (medical SDEC)</t>
        </is>
      </c>
      <c r="B5" s="6" t="inlineStr">
        <is>
          <t>26 core / 30 extended</t>
        </is>
      </c>
      <c r="C5" s="6" t="inlineStr">
        <is>
          <t>42-69% of core; peak 21 (81%) from 18:00</t>
        </is>
      </c>
      <c r="D5" s="6" t="inlineStr">
        <is>
          <t>Yes</t>
        </is>
      </c>
      <c r="E5" s="6" t="inlineStr">
        <is>
          <t>YES - counted in sdec_chair</t>
        </is>
      </c>
      <c r="F5" s="6" t="inlineStr">
        <is>
          <t>Real daytime headroom. Hit 30+ chairs in only 11 of 4,608 hours (0.2%). NOTE: the deck states 36-chair capacity on one slide and 26/30 on another, and the ops template says 30 - CUH to reconcile</t>
        </is>
      </c>
    </row>
    <row r="6">
      <c r="A6" s="6" t="inlineStr">
        <is>
          <t>SAU (surgical / urology / OMFS / ENT)</t>
        </is>
      </c>
      <c r="B6" s="6" t="inlineStr">
        <is>
          <t>30 chairs</t>
        </is>
      </c>
      <c r="C6" s="6" t="inlineStr">
        <is>
          <t>35% average, all hours all days; weekday peak 62% (19 of 30) at 14:00</t>
        </is>
      </c>
      <c r="D6" s="6" t="inlineStr">
        <is>
          <t>Yes</t>
        </is>
      </c>
      <c r="E6" s="6" t="inlineStr">
        <is>
          <t>YES - counted in sdec_chair</t>
        </is>
      </c>
      <c r="F6" s="6" t="inlineStr">
        <is>
          <t>The clearest headroom in the whole system - under 50% occupied for roughly 3 hours in every 4</t>
        </is>
      </c>
    </row>
    <row r="7">
      <c r="A7" s="6" t="inlineStr">
        <is>
          <t>EAU4</t>
        </is>
      </c>
      <c r="B7" s="6" t="inlineStr">
        <is>
          <t>25 trolleys + 3 side rooms (28)</t>
        </is>
      </c>
      <c r="C7" s="6" t="inlineStr">
        <is>
          <t>93-96% continuously, weekdays and weekends</t>
        </is>
      </c>
      <c r="D7" s="6" t="inlineStr">
        <is>
          <t>Effectively no</t>
        </is>
      </c>
      <c r="E7" s="6" t="inlineStr">
        <is>
          <t>NO - excluded</t>
        </is>
      </c>
      <c r="F7" s="6" t="inlineStr">
        <is>
          <t>At or near capacity almost every hour of every day. Sicker patients go direct via EAU5 or to specialty wards</t>
        </is>
      </c>
    </row>
    <row r="8">
      <c r="A8" s="6" t="inlineStr">
        <is>
          <t>Clinic 5 (medical SDEC)</t>
        </is>
      </c>
      <c r="B8" s="6" t="inlineStr">
        <is>
          <t>appointment-based, not bed-based</t>
        </is>
      </c>
      <c r="C8" s="6" t="inlineStr">
        <is>
          <t>~50-60 attendances/day Mon-Fri, ~13/day weekends</t>
        </is>
      </c>
      <c r="D8" s="6" t="inlineStr">
        <is>
          <t>Barely</t>
        </is>
      </c>
      <c r="E8" s="6" t="inlineStr">
        <is>
          <t>NO - excluded</t>
        </is>
      </c>
      <c r="F8" s="6" t="inlineStr">
        <is>
          <t>Only 0.5% of its attendances came from ED (40 of 7,896 over six months). Now structured for hot clinics rather than open SDEC slots</t>
        </is>
      </c>
    </row>
    <row r="9">
      <c r="A9" s="6" t="inlineStr">
        <is>
          <t>DVT clinic</t>
        </is>
      </c>
      <c r="B9" s="6" t="inlineStr">
        <is>
          <t>appointment-based</t>
        </is>
      </c>
      <c r="C9" s="6" t="inlineStr">
        <is>
          <t>-</t>
        </is>
      </c>
      <c r="D9" s="6" t="inlineStr">
        <is>
          <t>No</t>
        </is>
      </c>
      <c r="E9" s="6" t="inlineStr">
        <is>
          <t>NO - excluded</t>
        </is>
      </c>
      <c r="F9" s="6" t="inlineStr">
        <is>
          <t>~99.5% non-ED (GP / outpatient referral)</t>
        </is>
      </c>
    </row>
    <row r="10">
      <c r="A10" s="6" t="inlineStr">
        <is>
          <t>Clinic 23 (obstetric), Clinic 24 (pregnant gynae), PSU (plastics)</t>
        </is>
      </c>
      <c r="B10" s="6" t="inlineStr">
        <is>
          <t>UNKNOWN (CUH marked ***)</t>
        </is>
      </c>
      <c r="C10" s="6" t="inlineStr">
        <is>
          <t>-</t>
        </is>
      </c>
      <c r="D10" s="6" t="inlineStr">
        <is>
          <t>Yes</t>
        </is>
      </c>
      <c r="E10" s="6" t="inlineStr">
        <is>
          <t>NO - capacity unknown</t>
        </is>
      </c>
      <c r="F10" s="6" t="inlineStr">
        <is>
          <t>STILL NEEDED: capacity for these three. They are in operation with real hours, so excluding them understates SDEC</t>
        </is>
      </c>
    </row>
    <row r="11">
      <c r="A11" s="6" t="n"/>
      <c r="B11" s="6" t="n"/>
      <c r="C11" s="6" t="n"/>
      <c r="D11" s="6" t="n"/>
      <c r="E11" s="6" t="n"/>
      <c r="F11" s="6" t="n"/>
    </row>
    <row r="12">
      <c r="A12" s="6" t="inlineStr">
        <is>
          <t>MODEL TOTAL: sdec_chair = 60</t>
        </is>
      </c>
      <c r="B12" s="6">
        <f> EAU3 30 + SAU 30</f>
        <v/>
      </c>
      <c r="C12" s="6" t="inlineStr"/>
      <c r="D12" s="6" t="inlineStr"/>
      <c r="E12" s="6" t="inlineStr"/>
      <c r="F12" s="6" t="inlineStr">
        <is>
          <t>Cross-check: 60 chairs at the observed ~4.4h median SDEC stay is roughly 327/day of theoretical throughput against 143.8 observed attendances/day = ~44% utilisation, which sits right in the 35-69% the deck measures. The two agree.</t>
        </is>
      </c>
    </row>
    <row r="13">
      <c r="A13" s="6" t="inlineStr">
        <is>
          <t>SIMULATION FINDING</t>
        </is>
      </c>
      <c r="B13" s="6" t="inlineStr"/>
      <c r="C13" s="6" t="inlineStr"/>
      <c r="D13" s="6" t="inlineStr"/>
      <c r="E13" s="6" t="inlineStr"/>
      <c r="F13" s="6" t="inlineStr">
        <is>
          <t>SDEC chairs are NOT the binding constraint in the model: rerunning with sdec_chair back at 12 changed the 4-hour figure by 0.0 points. That INDEPENDENTLY reproduces the deck's own conclusion - the blocker is not chairs, it is streaming and staffing.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</t>
        </is>
      </c>
      <c r="B1" s="1" t="inlineStr">
        <is>
          <t>value</t>
        </is>
      </c>
      <c r="C1" s="1" t="inlineStr">
        <is>
          <t>why it is not loaded</t>
        </is>
      </c>
      <c r="D1" s="1" t="inlineStr">
        <is>
          <t>source</t>
        </is>
      </c>
    </row>
    <row r="2">
      <c r="A2" t="inlineStr">
        <is>
          <t>Trust discharges Mon</t>
        </is>
      </c>
      <c r="B2" t="n">
        <v>3500</v>
      </c>
      <c r="C2" t="inlineStr">
        <is>
          <t>index 1.266 vs mean - the engine has NO day-of-week dimension</t>
        </is>
      </c>
      <c r="D2" t="inlineStr">
        <is>
          <t>data/cuh/Discharges by day.xlsx</t>
        </is>
      </c>
    </row>
    <row r="3">
      <c r="A3" t="inlineStr">
        <is>
          <t>Trust discharges Tue</t>
        </is>
      </c>
      <c r="B3" t="n">
        <v>3409</v>
      </c>
      <c r="C3" t="inlineStr">
        <is>
          <t>index 1.233 vs mean - the engine has NO day-of-week dimension</t>
        </is>
      </c>
      <c r="D3" t="inlineStr">
        <is>
          <t>data/cuh/Discharges by day.xlsx</t>
        </is>
      </c>
    </row>
    <row r="4">
      <c r="A4" t="inlineStr">
        <is>
          <t>Trust discharges Wed</t>
        </is>
      </c>
      <c r="B4" t="n">
        <v>3061</v>
      </c>
      <c r="C4" t="inlineStr">
        <is>
          <t>index 1.107 vs mean - the engine has NO day-of-week dimension</t>
        </is>
      </c>
      <c r="D4" t="inlineStr">
        <is>
          <t>data/cuh/Discharges by day.xlsx</t>
        </is>
      </c>
    </row>
    <row r="5">
      <c r="A5" t="inlineStr">
        <is>
          <t>Trust discharges Thu</t>
        </is>
      </c>
      <c r="B5" t="n">
        <v>3029</v>
      </c>
      <c r="C5" t="inlineStr">
        <is>
          <t>index 1.096 vs mean - the engine has NO day-of-week dimension</t>
        </is>
      </c>
      <c r="D5" t="inlineStr">
        <is>
          <t>data/cuh/Discharges by day.xlsx</t>
        </is>
      </c>
    </row>
    <row r="6">
      <c r="A6" t="inlineStr">
        <is>
          <t>Trust discharges Fri</t>
        </is>
      </c>
      <c r="B6" t="n">
        <v>3227</v>
      </c>
      <c r="C6" t="inlineStr">
        <is>
          <t>index 1.167 vs mean - the engine has NO day-of-week dimension</t>
        </is>
      </c>
      <c r="D6" t="inlineStr">
        <is>
          <t>data/cuh/Discharges by day.xlsx</t>
        </is>
      </c>
    </row>
    <row r="7">
      <c r="A7" t="inlineStr">
        <is>
          <t>Trust discharges Sat</t>
        </is>
      </c>
      <c r="B7" t="n">
        <v>2106</v>
      </c>
      <c r="C7" t="inlineStr">
        <is>
          <t>index 0.762 vs mean - the engine has NO day-of-week dimension</t>
        </is>
      </c>
      <c r="D7" t="inlineStr">
        <is>
          <t>data/cuh/Discharges by day.xlsx</t>
        </is>
      </c>
    </row>
    <row r="8">
      <c r="A8" t="inlineStr">
        <is>
          <t>Trust discharges Sun</t>
        </is>
      </c>
      <c r="B8" t="n">
        <v>1020</v>
      </c>
      <c r="C8" t="inlineStr">
        <is>
          <t>index 0.369 vs mean - the engine has NO day-of-week dimension</t>
        </is>
      </c>
      <c r="D8" t="inlineStr">
        <is>
          <t>data/cuh/Discharges by day.xlsx</t>
        </is>
      </c>
    </row>
    <row r="9">
      <c r="A9" t="inlineStr">
        <is>
          <t># Sunday discharges are 29% of Monday's. That weekend collapse in bed</t>
        </is>
      </c>
    </row>
    <row r="10">
      <c r="A10" t="inlineStr">
        <is>
          <t># releases is a principal driver of Monday exit-block, 12-hour DTA waits and</t>
        </is>
      </c>
    </row>
    <row r="11">
      <c r="A11" t="inlineStr">
        <is>
          <t># ambulance handover delay - and the model cannot reproduce ANY of it today:</t>
        </is>
      </c>
    </row>
    <row r="12">
      <c r="A12" t="inlineStr">
        <is>
          <t># arrivals are one 24-hour profile repeated identically every day, and bed</t>
        </is>
      </c>
    </row>
    <row r="13">
      <c r="A13" t="inlineStr">
        <is>
          <t># releases are a flow rate with no weekday variation.</t>
        </is>
      </c>
    </row>
    <row r="14">
      <c r="A14" t="inlineStr">
        <is>
          <t># Wiring day-of-week into the SD bed model is the highest-value engine</t>
        </is>
      </c>
    </row>
    <row r="15">
      <c r="A15" t="inlineStr">
        <is>
          <t># change this data batch points to. Filling this tab changes nothing until</t>
        </is>
      </c>
    </row>
    <row r="16">
      <c r="A16" t="inlineStr">
        <is>
          <t># that seam exists.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6" customWidth="1" min="1" max="1"/>
    <col width="38" customWidth="1" min="2" max="2"/>
    <col width="30" customWidth="1" min="3" max="3"/>
    <col width="80" customWidth="1" min="4" max="4"/>
  </cols>
  <sheetData>
    <row r="1">
      <c r="A1" t="inlineStr">
        <is>
          <t>value in the model</t>
        </is>
      </c>
      <c r="B1" t="inlineStr">
        <is>
          <t>workbook tab</t>
        </is>
      </c>
      <c r="C1" t="inlineStr">
        <is>
          <t>status</t>
        </is>
      </c>
      <c r="D1" t="inlineStr">
        <is>
          <t>source</t>
        </is>
      </c>
    </row>
    <row r="2">
      <c r="A2" t="inlineStr">
        <is>
          <t>Attendances per day (400.5)</t>
        </is>
      </c>
      <c r="B2" t="inlineStr">
        <is>
          <t>Overview</t>
        </is>
      </c>
      <c r="C2" t="inlineStr">
        <is>
          <t>REAL published</t>
        </is>
      </c>
      <c r="D2" t="inlineStr">
        <is>
          <t>NHSE monthly A&amp;E June 2026, data/June-2026-CSV-Wfg38l.csv row RGT</t>
        </is>
      </c>
    </row>
    <row r="3">
      <c r="A3" t="inlineStr">
        <is>
          <t>Inpatient beds (1,068)</t>
        </is>
      </c>
      <c r="B3" t="inlineStr">
        <is>
          <t>Overview</t>
        </is>
      </c>
      <c r="C3" t="inlineStr">
        <is>
          <t>REAL published</t>
        </is>
      </c>
      <c r="D3" t="inlineStr">
        <is>
          <t>KH03 Q4 2025-26, data/Beds-Open-Overnight-Web_File-Q4-2025-26.xlsx row RGT</t>
        </is>
      </c>
    </row>
    <row r="4">
      <c r="A4" t="inlineStr">
        <is>
          <t>Bed occupancy (89.26%)</t>
        </is>
      </c>
      <c r="B4" t="inlineStr">
        <is>
          <t>Overview</t>
        </is>
      </c>
      <c r="C4" t="inlineStr">
        <is>
          <t>REAL published</t>
        </is>
      </c>
      <c r="D4" t="inlineStr">
        <is>
          <t>KH03 Q4 2025-26, same file</t>
        </is>
      </c>
    </row>
    <row r="5">
      <c r="A5" t="inlineStr">
        <is>
          <t>Community / virtual-ward capacity</t>
        </is>
      </c>
      <c r="B5" t="inlineStr">
        <is>
          <t>Overview</t>
        </is>
      </c>
      <c r="C5" t="inlineStr">
        <is>
          <t>ASSUMPTION (template 60/day)</t>
        </is>
      </c>
      <c r="D5" t="inlineStr">
        <is>
          <t>replace when CUH supplies discharge capacity</t>
        </is>
      </c>
    </row>
    <row r="6">
      <c r="A6" t="inlineStr">
        <is>
          <t>Arrivals by hour (24 values summing to 400.5)</t>
        </is>
      </c>
      <c r="B6" t="inlineStr">
        <is>
          <t>Arrivals</t>
        </is>
      </c>
      <c r="C6" t="inlineStr">
        <is>
          <t>REAL CUH extract</t>
        </is>
      </c>
      <c r="D6" t="inlineStr">
        <is>
          <t>data/cuh/Arrivals and departures by hour May to Aug 26.xlsx, May-Aug 2026 shape</t>
        </is>
      </c>
    </row>
    <row r="7">
      <c r="A7" t="inlineStr">
        <is>
          <t>Acuity mix (2.51 / 18.88 / 42.21 / 36.41 / 0)</t>
        </is>
      </c>
      <c r="B7" t="inlineStr">
        <is>
          <t>AcuityMix</t>
        </is>
      </c>
      <c r="C7" t="inlineStr">
        <is>
          <t>REAL CUH extract (area-proxy)</t>
        </is>
      </c>
      <c r="D7" t="inlineStr">
        <is>
          <t>data/cuh/Performance Resus, Majors Trolleys, Majors Ambulant, Minors .xlsx, Feb-Jul 2026</t>
        </is>
      </c>
    </row>
    <row r="8">
      <c r="A8" t="inlineStr">
        <is>
          <t>Ambulance share (19.14%)</t>
        </is>
      </c>
      <c r="B8" t="inlineStr">
        <is>
          <t>applied automatically on upload via ODS code</t>
        </is>
      </c>
      <c r="C8" t="inlineStr">
        <is>
          <t>REAL CUH extract</t>
        </is>
      </c>
      <c r="D8" t="inlineStr">
        <is>
          <t>data/cuh/Arrivals Ambulance May to Aug 2026.xlsx (8,830 of 46,132)</t>
        </is>
      </c>
    </row>
    <row r="9">
      <c r="A9" t="inlineStr">
        <is>
          <t>Admission rate by acuity (74.3 / 56.0 / 4.2 / 0.05%)</t>
        </is>
      </c>
      <c r="B9" t="inlineStr">
        <is>
          <t>applied automatically on upload via ODS code</t>
        </is>
      </c>
      <c r="C9" t="inlineStr">
        <is>
          <t>REAL CUH extract</t>
        </is>
      </c>
      <c r="D9" t="inlineStr">
        <is>
          <t>data/cuh/Performance *.xlsx, Total Adm / Total Att, Feb-Jul 2026</t>
        </is>
      </c>
    </row>
    <row r="10">
      <c r="A10" t="inlineStr">
        <is>
          <t>Paediatric share (13.35%)</t>
        </is>
      </c>
      <c r="B10" t="inlineStr">
        <is>
          <t>applied automatically on upload via ODS code</t>
        </is>
      </c>
      <c r="C10" t="inlineStr">
        <is>
          <t>REAL CUH extract</t>
        </is>
      </c>
      <c r="D10" t="inlineStr">
        <is>
          <t>data/cuh/Performance Paeds.xlsx (10,781 of 80,771 front-door attendances)</t>
        </is>
      </c>
    </row>
    <row r="11">
      <c r="A11" t="inlineStr">
        <is>
          <t>Mental-health share (2.57%)</t>
        </is>
      </c>
      <c r="B11" t="inlineStr">
        <is>
          <t>applied automatically on upload via ODS code</t>
        </is>
      </c>
      <c r="C11" t="inlineStr">
        <is>
          <t>REAL published</t>
        </is>
      </c>
      <c r="D11" t="inlineStr">
        <is>
          <t>ECDS provisional June 2026, Mental Health sheet, row RGT</t>
        </is>
      </c>
    </row>
    <row r="12">
      <c r="A12" t="inlineStr">
        <is>
          <t>Areas and opening hours</t>
        </is>
      </c>
      <c r="B12" t="inlineStr">
        <is>
          <t>Areas</t>
        </is>
      </c>
      <c r="C12" t="inlineStr">
        <is>
          <t>ASSUMPTION (template defaults)</t>
        </is>
      </c>
      <c r="D12" t="inlineStr">
        <is>
          <t>awaiting CUH confirmation</t>
        </is>
      </c>
    </row>
    <row r="13">
      <c r="A13" t="inlineStr">
        <is>
          <t>Physical capacity (cubicles, resus bays, CDU beds...)</t>
        </is>
      </c>
      <c r="B13" t="inlineStr">
        <is>
          <t>Capacity</t>
        </is>
      </c>
      <c r="C13" t="inlineStr">
        <is>
          <t>ASSUMPTION (scaled template)</t>
        </is>
      </c>
      <c r="D13" t="inlineStr">
        <is>
          <t>not in CHEQS batch 1, the collection workbook Capacity tab asks for these</t>
        </is>
      </c>
    </row>
    <row r="14">
      <c r="A14" t="inlineStr">
        <is>
          <t>Rota / staffing</t>
        </is>
      </c>
      <c r="B14" t="inlineStr">
        <is>
          <t>Rota</t>
        </is>
      </c>
      <c r="C14" t="inlineStr">
        <is>
          <t>ASSUMPTION (template defaults)</t>
        </is>
      </c>
      <c r="D14" t="inlineStr">
        <is>
          <t>workforce agreed out of scope for this phase</t>
        </is>
      </c>
    </row>
    <row r="15">
      <c r="A15" t="inlineStr">
        <is>
          <t>Service times per stage</t>
        </is>
      </c>
      <c r="B15" t="inlineStr">
        <is>
          <t>ServiceTimes</t>
        </is>
      </c>
      <c r="C15" t="inlineStr">
        <is>
          <t>ASSUMPTION (calibrated)</t>
        </is>
      </c>
      <c r="D15" t="inlineStr">
        <is>
          <t>auto-calibrate against observed 4-hour 52.93%; CUH June stage medians are the cross-check</t>
        </is>
      </c>
    </row>
    <row r="16">
      <c r="A16" t="inlineStr">
        <is>
          <t>4-hour 52.93% and 12-hour 3.7%</t>
        </is>
      </c>
      <c r="B16" t="inlineStr">
        <is>
          <t>not in this workbook</t>
        </is>
      </c>
      <c r="C16" t="inlineStr">
        <is>
          <t>REAL published, VALIDATION ONLY</t>
        </is>
      </c>
      <c r="D16" t="inlineStr">
        <is>
          <t>never model inputs; the model is judged against them</t>
        </is>
      </c>
    </row>
    <row r="17">
      <c r="A17" t="inlineStr">
        <is>
          <t>CT per attendance (0.1828)</t>
        </is>
      </c>
      <c r="B17" t="inlineStr">
        <is>
          <t>Investigations</t>
        </is>
      </c>
      <c r="C17" t="inlineStr">
        <is>
          <t>REAL CUH extract (batch 2)</t>
        </is>
      </c>
      <c r="D17" t="inlineStr">
        <is>
          <t>data/cuh/Investigation types.xlsx, 8,065 CT over 14 complete weeks 10 May-9 Aug 2026</t>
        </is>
      </c>
    </row>
    <row r="18">
      <c r="A18" t="inlineStr">
        <is>
          <t>X-ray per attendance (0.3918)</t>
        </is>
      </c>
      <c r="B18" t="inlineStr">
        <is>
          <t>Investigations</t>
        </is>
      </c>
      <c r="C18" t="inlineStr">
        <is>
          <t>REAL CUH extract (batch 2)</t>
        </is>
      </c>
      <c r="D18" t="inlineStr">
        <is>
          <t>data/cuh/Investigation types.xlsx, 17,284 plain radiography, same 14 weeks</t>
        </is>
      </c>
    </row>
    <row r="19">
      <c r="A19" t="inlineStr">
        <is>
          <t>4-hour weekly spread (60.9% typical, 69.5 good / 54.7 tough)</t>
        </is>
      </c>
      <c r="B19" t="inlineStr">
        <is>
          <t>Validation</t>
        </is>
      </c>
      <c r="C19" t="inlineStr">
        <is>
          <t>REAL CUH extract, VALIDATION ONLY</t>
        </is>
      </c>
      <c r="D19" t="inlineStr">
        <is>
          <t>data/cuh/4-hour perf.xlsx, 50 weeks, CUH on-site (internal basis, not published Type 1)</t>
        </is>
      </c>
    </row>
    <row r="20">
      <c r="A20" t="inlineStr">
        <is>
          <t>12-hour weekly spread (10.0% typical, 3.3 good / 13.1 tough)</t>
        </is>
      </c>
      <c r="B20" t="inlineStr">
        <is>
          <t>Validation</t>
        </is>
      </c>
      <c r="C20" t="inlineStr">
        <is>
          <t>REAL CUH extract, VALIDATION ONLY</t>
        </is>
      </c>
      <c r="D20" t="inlineStr">
        <is>
          <t>data/cuh/12-hour perf.xlsx, 50 weeks, from-arrival basis (not DTA)</t>
        </is>
      </c>
    </row>
    <row r="21">
      <c r="A21" t="inlineStr">
        <is>
          <t>MH admission 18.3%, did-not-wait 12.2%</t>
        </is>
      </c>
      <c r="B21" t="inlineStr">
        <is>
          <t>Validation</t>
        </is>
      </c>
      <c r="C21" t="inlineStr">
        <is>
          <t>REAL CUH extract, NOT YET CONSUMED</t>
        </is>
      </c>
      <c r="D21" t="inlineStr">
        <is>
          <t>data/cuh/MH Disposals.xlsx - no MH-specific admission/LWBS parameter exists yet</t>
        </is>
      </c>
    </row>
    <row r="22">
      <c r="A22" t="inlineStr">
        <is>
          <t>Trust discharges by weekday (Sun 29% of Mon)</t>
        </is>
      </c>
      <c r="B22" t="inlineStr">
        <is>
          <t>NotYetModelled</t>
        </is>
      </c>
      <c r="C22" t="inlineStr">
        <is>
          <t>REAL CUH extract, NOT CONSUMED</t>
        </is>
      </c>
      <c r="D22" t="inlineStr">
        <is>
          <t>data/cuh/Discharges by day.xlsx - the engine has no day-of-week dimension</t>
        </is>
      </c>
    </row>
    <row r="23">
      <c r="A23" t="inlineStr">
        <is>
          <t>Procedure / investigation mix (full SNOMED tables)</t>
        </is>
      </c>
      <c r="B23" t="inlineStr">
        <is>
          <t>not in this workbook</t>
        </is>
      </c>
      <c r="C23" t="inlineStr">
        <is>
          <t>REAL CUH extract, REFERENCE</t>
        </is>
      </c>
      <c r="D23" t="inlineStr">
        <is>
          <t>data/cuh/Procedure type.xlsx and Investigation types.xlsx - see rgt_published.json</t>
        </is>
      </c>
    </row>
    <row r="24">
      <c r="A24" t="inlineStr">
        <is>
          <t>Ambulance handover within 45min (84.19%) / over 30min (22.45%)</t>
        </is>
      </c>
      <c r="B24" t="inlineStr">
        <is>
          <t>Validation</t>
        </is>
      </c>
      <c r="C24" t="inlineStr">
        <is>
          <t>REAL PUBLIC, VALIDATION ONLY</t>
        </is>
      </c>
      <c r="D24" t="inlineStr">
        <is>
          <t>NHSE UEC Daily SitRep ambulance collection, data/Web-File-Timeseries-Ambulance-Collection-dpkj63.xlsx row RGT. WINTER ONLY - not comparable like-for-like with the May-Aug CHEQS extracts</t>
        </is>
      </c>
    </row>
    <row r="25">
      <c r="A25" t="inlineStr">
        <is>
          <t>Optional components (EEMAC 22 pilot / CDU template / MH 1 room)</t>
        </is>
      </c>
      <c r="B25" t="inlineStr">
        <is>
          <t>Areas + Capacity</t>
        </is>
      </c>
      <c r="C25" t="inlineStr">
        <is>
          <t>OFF at CUH, selectable in Design my ED</t>
        </is>
      </c>
      <c r="D25" t="inlineStr">
        <is>
          <t>EEMAC opens at the REAL pilot size (22, 08:00-00:00) if enabled; CDU has no CUH figure so template 8 would apply as a labelled assumption; MH area would open on the 1 real assessment room</t>
        </is>
      </c>
    </row>
    <row r="26">
      <c r="A26" t="inlineStr">
        <is>
          <t>ED minors = 0 (routed to UTC)</t>
        </is>
      </c>
      <c r="B26" t="inlineStr">
        <is>
          <t>Capacity</t>
        </is>
      </c>
      <c r="C26" t="inlineStr">
        <is>
          <t>REAL - CUH ops</t>
        </is>
      </c>
      <c r="D26" t="inlineStr">
        <is>
          <t>CUH ED Operational Inputs 20 Aug 2026. Overnight minors -&gt; fit-to-sit is an ASSUMPTION pending CUH 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2026-08-11T10:01:17Z</dcterms:created>
  <dcterms:modified xmlns:dcterms="http://purl.org/dc/terms/" xmlns:xsi="http://www.w3.org/2001/XMLSchema-instance" xsi:type="dcterms:W3CDTF">2026-08-20T17:40:34Z</dcterms:modified>
</cp:coreProperties>
</file>