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https://moorhousec.sharepoint.com/sites/CUHFlowProgramme2/Shared Documents/Phase 2/05_Workstreams/01_Front Door/"/>
    </mc:Choice>
  </mc:AlternateContent>
  <xr:revisionPtr revIDLastSave="1" documentId="8_{47783981-6A87-2E44-A635-A45098E084CB}" xr6:coauthVersionLast="47" xr6:coauthVersionMax="47" xr10:uidLastSave="{63DA87F9-3D65-A249-AF23-FDEEBEA84C18}"/>
  <bookViews>
    <workbookView xWindow="0" yWindow="660" windowWidth="30240" windowHeight="17820" activeTab="2" xr2:uid="{00000000-000D-0000-FFFF-FFFF00000000}"/>
  </bookViews>
  <sheets>
    <sheet name="Read Me" sheetId="1" r:id="rId1"/>
    <sheet name="Areas &amp; Hours" sheetId="2" r:id="rId2"/>
    <sheet name="Physical Capacity" sheetId="3" r:id="rId3"/>
    <sheet name="Community Capacity" sheetId="4" r:id="rId4"/>
  </sheets>
  <calcPr calcId="0"/>
</workbook>
</file>

<file path=xl/sharedStrings.xml><?xml version="1.0" encoding="utf-8"?>
<sst xmlns="http://schemas.openxmlformats.org/spreadsheetml/2006/main" count="153" uniqueCount="124">
  <si>
    <t>Tab</t>
  </si>
  <si>
    <t>What we need</t>
  </si>
  <si>
    <t>Who should complete</t>
  </si>
  <si>
    <t>Priority</t>
  </si>
  <si>
    <t>Areas &amp; Hours</t>
  </si>
  <si>
    <t>Confirm which operational areas exist and when each can accept patients.</t>
  </si>
  <si>
    <t>ED operational / clinical lead</t>
  </si>
  <si>
    <t>High</t>
  </si>
  <si>
    <t>Physical Capacity</t>
  </si>
  <si>
    <t>Provide the best available real counts for cubicles, bays, chairs, beds and rooms.</t>
  </si>
  <si>
    <t>Highest</t>
  </si>
  <si>
    <t>Community Capacity</t>
  </si>
  <si>
    <t>Approximate daily capacity for community / virtual-ward discharge pathways.</t>
  </si>
  <si>
    <t>Operational / discharge team</t>
  </si>
  <si>
    <t>Lower</t>
  </si>
  <si>
    <t>How to complete</t>
  </si>
  <si>
    <t>1.</t>
  </si>
  <si>
    <t>Only complete the yellow cells.</t>
  </si>
  <si>
    <t>2.</t>
  </si>
  <si>
    <t>3.</t>
  </si>
  <si>
    <t>For 24/7 areas, enter opening hour 0 and closing hour 24.</t>
  </si>
  <si>
    <t>4.</t>
  </si>
  <si>
    <t>If a number is genuinely unknown, leave it blank and add a short note if helpful.</t>
  </si>
  <si>
    <t>1. Areas in operation and opening hours</t>
  </si>
  <si>
    <t>Please confirm each area below. Complete the yellow cells only. For 24/7 areas use 0 and 24.</t>
  </si>
  <si>
    <t>Area</t>
  </si>
  <si>
    <t>In operation? (Yes/No)</t>
  </si>
  <si>
    <t>Opening hour (0–23)</t>
  </si>
  <si>
    <t>Closing hour (1–24)</t>
  </si>
  <si>
    <t>Operational notes (optional)</t>
  </si>
  <si>
    <t>Rapid Assessment &amp; Treatment (RAT)</t>
  </si>
  <si>
    <t>Co-located Urgent Treatment Centre (UTC)</t>
  </si>
  <si>
    <t>Ambulatory / 'fit to sit' area</t>
  </si>
  <si>
    <t>Paediatric ED / PAU</t>
  </si>
  <si>
    <t>EEMAC (extended emergency ambulatory care)</t>
  </si>
  <si>
    <t>Specialty Same-Day Emergency Care (SDEC)</t>
  </si>
  <si>
    <t>Clinical Decision Unit (CDU)</t>
  </si>
  <si>
    <t>Frailty unit / FAU</t>
  </si>
  <si>
    <t>Mental-health assessment / liaison area</t>
  </si>
  <si>
    <t>2. Physical capacity</t>
  </si>
  <si>
    <t>Please provide the best available real count. Approximate operational counts are fine.</t>
  </si>
  <si>
    <t>Resource / space</t>
  </si>
  <si>
    <t>Area / pathway</t>
  </si>
  <si>
    <t>Count</t>
  </si>
  <si>
    <t>Notes (optional)</t>
  </si>
  <si>
    <t>UTC consultation / treatment rooms</t>
  </si>
  <si>
    <t>Co-located UTC</t>
  </si>
  <si>
    <t>Minor injury treatment spaces</t>
  </si>
  <si>
    <t>Core ED</t>
  </si>
  <si>
    <t>Fit-to-sit chairs</t>
  </si>
  <si>
    <t>Ambulatory / fit to sit</t>
  </si>
  <si>
    <t>Majors / ED cubicles or trolley spaces</t>
  </si>
  <si>
    <t>Resus bays</t>
  </si>
  <si>
    <t>Paediatric cubicles / treatment spaces</t>
  </si>
  <si>
    <t>CT scanners available to ED</t>
  </si>
  <si>
    <t>Core ED / diagnostics</t>
  </si>
  <si>
    <t>Plain X-ray rooms available to ED</t>
  </si>
  <si>
    <t>EEMAC spaces</t>
  </si>
  <si>
    <t>EEMAC</t>
  </si>
  <si>
    <t>SDEC chairs / treatment spaces</t>
  </si>
  <si>
    <t>Specialty SDEC</t>
  </si>
  <si>
    <t>CDU beds</t>
  </si>
  <si>
    <t>CDU</t>
  </si>
  <si>
    <t>Frailty / FAU beds</t>
  </si>
  <si>
    <t>Mental-health assessment rooms</t>
  </si>
  <si>
    <t>Mental-health assessment / liaison</t>
  </si>
  <si>
    <t>Ambulance handover bays / spaces</t>
  </si>
  <si>
    <t>ED front door</t>
  </si>
  <si>
    <t>3. Community / virtual-ward discharge capacity</t>
  </si>
  <si>
    <t>Lower priority: if there is no reliable estimate readily available, this can be left blank for the baseline.</t>
  </si>
  <si>
    <t>Input</t>
  </si>
  <si>
    <t>Approx. patients per day</t>
  </si>
  <si>
    <t>Notes / definition (optional)</t>
  </si>
  <si>
    <t>Combined community / virtual-ward discharge capacity</t>
  </si>
  <si>
    <t>CUH ED Operational Inputs : Capacity Workbook</t>
  </si>
  <si>
    <t>Best operational estimates are fine : these do not need to come from a formal data extract.</t>
  </si>
  <si>
    <t>If any other capacity are there please add from below</t>
  </si>
  <si>
    <t>Defined differently in different hospitals - at CUH this is for assessment of patients arriving by ambulance only</t>
  </si>
  <si>
    <t>Yes</t>
  </si>
  <si>
    <t>GP stream only (Minor injuries see below)</t>
  </si>
  <si>
    <t>Fit to sit treatment area - independent of waiting room capacity</t>
  </si>
  <si>
    <t>Paediatric ED - Yes / PAU - No</t>
  </si>
  <si>
    <t>No</t>
  </si>
  <si>
    <t>In trial at present - piloted opening hours 08:00 - 00:00 with capacity 22 patients - would need staffing uplift to implement permenantly</t>
  </si>
  <si>
    <t>Needs discussion with frailty team</t>
  </si>
  <si>
    <t>Minor Injuries only (GP stream see below)</t>
  </si>
  <si>
    <t>Need to cross check opening hours with frailty team</t>
  </si>
  <si>
    <t>Not staffed to use all of these simultaneously</t>
  </si>
  <si>
    <t>Minor injuries capacity is in UCC</t>
  </si>
  <si>
    <t>NB Res-05 not counted - counted amongst majors bays above</t>
  </si>
  <si>
    <t>Do not have exclusive use of these - shared with all inpatient facilities</t>
  </si>
  <si>
    <t>2 in main ED, 1 in UCC</t>
  </si>
  <si>
    <t>(Piloting 22 - needs staffing uplift)</t>
  </si>
  <si>
    <t>***</t>
  </si>
  <si>
    <t>Listed amongst RAT on previous page</t>
  </si>
  <si>
    <t>Corridor Capacity</t>
  </si>
  <si>
    <t>2 in ambulance bay / 3 in corridor</t>
  </si>
  <si>
    <t>SEE BELOW</t>
  </si>
  <si>
    <t>subdivided by speciality below</t>
  </si>
  <si>
    <t>EAU3 (Medical SDEC)</t>
  </si>
  <si>
    <t>Capacity limited by staffing - sometimes drops to 24 / 18</t>
  </si>
  <si>
    <t>SAU (Surgical / ENT / OMFS / Non-pregnant Gynae SDEC)</t>
  </si>
  <si>
    <t>Also takes booked appointments which may limit capacity</t>
  </si>
  <si>
    <t>Clinic 24 (Pregnant Gynae SDEC)</t>
  </si>
  <si>
    <t>Clinic 23 (Obstretric SDEC)</t>
  </si>
  <si>
    <t>Needs clarification with Clinic 23 team</t>
  </si>
  <si>
    <t>Needs clarification with Clinic 24 team</t>
  </si>
  <si>
    <t>See below - per speciality variability</t>
  </si>
  <si>
    <t>PSU</t>
  </si>
  <si>
    <t>PSU (Plastics SDEC)</t>
  </si>
  <si>
    <t>Needs clarification from PSU team</t>
  </si>
  <si>
    <t>EAU3 (Some medical SDEC patients)</t>
  </si>
  <si>
    <t>Clinic 5 (Some medical SDEC patients)</t>
  </si>
  <si>
    <t>Clinic 23 (Obstetric SDEC)</t>
  </si>
  <si>
    <t>Weekdays - limited true same day capacity</t>
  </si>
  <si>
    <t>Weekends - limited true same day capacity</t>
  </si>
  <si>
    <t>SAU (Surgical / Urology / OMFS / ENT /  SDEC / Non-pregnant Gynae SDEC)</t>
  </si>
  <si>
    <t xml:space="preserve">Weekdays </t>
  </si>
  <si>
    <t>Weekends</t>
  </si>
  <si>
    <t>Weekdays</t>
  </si>
  <si>
    <t>(Not including Resus + Ambulance bay)</t>
  </si>
  <si>
    <t>Ambulatory majors consultation rooms</t>
  </si>
  <si>
    <t>All paediatric ED, no PAU</t>
  </si>
  <si>
    <t>Number is for virtual ward only. Virtual ward is mostly used for step-down (discharge) not admission avoidance in 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</si>
</sst>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i/>
      <sz val="11"/>
      <color rgb="FF555555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4" xfId="0" applyBorder="1"/>
    <xf numFmtId="0" fontId="0" fillId="0" borderId="5" xfId="0" applyBorder="1"/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6" borderId="0" xfId="0" applyFill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0" fillId="6" borderId="8" xfId="0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20" fontId="0" fillId="6" borderId="0" xfId="0" applyNumberFormat="1" applyFill="1" applyAlignment="1">
      <alignment vertical="top" wrapText="1"/>
    </xf>
    <xf numFmtId="46" fontId="0" fillId="6" borderId="0" xfId="0" applyNumberFormat="1" applyFill="1" applyAlignment="1">
      <alignment vertical="top" wrapText="1"/>
    </xf>
    <xf numFmtId="20" fontId="0" fillId="0" borderId="0" xfId="0" applyNumberFormat="1"/>
    <xf numFmtId="46" fontId="0" fillId="0" borderId="0" xfId="0" applyNumberFormat="1"/>
    <xf numFmtId="0" fontId="1" fillId="2" borderId="0" xfId="0" applyFont="1" applyFill="1" applyAlignment="1">
      <alignment vertical="center"/>
    </xf>
    <xf numFmtId="0" fontId="4" fillId="5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easHoursTable" displayName="AreasHoursTable" ref="A4:E22" totalsRowShown="0">
  <tableColumns count="5">
    <tableColumn id="1" xr3:uid="{00000000-0010-0000-0000-000001000000}" name="Area"/>
    <tableColumn id="2" xr3:uid="{00000000-0010-0000-0000-000002000000}" name="In operation? (Yes/No)"/>
    <tableColumn id="3" xr3:uid="{00000000-0010-0000-0000-000003000000}" name="Opening hour (0–23)"/>
    <tableColumn id="4" xr3:uid="{00000000-0010-0000-0000-000004000000}" name="Closing hour (1–24)"/>
    <tableColumn id="5" xr3:uid="{00000000-0010-0000-0000-000005000000}" name="Operational notes (optional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hysicalCapacityTable" displayName="PhysicalCapacityTable" ref="A4:D26" totalsRowShown="0">
  <tableColumns count="4">
    <tableColumn id="1" xr3:uid="{00000000-0010-0000-0100-000001000000}" name="Resource / space"/>
    <tableColumn id="2" xr3:uid="{00000000-0010-0000-0100-000002000000}" name="Area / pathway"/>
    <tableColumn id="3" xr3:uid="{00000000-0010-0000-0100-000003000000}" name="Count"/>
    <tableColumn id="4" xr3:uid="{00000000-0010-0000-0100-000004000000}" name="Notes (optional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B29" sqref="B29"/>
    </sheetView>
  </sheetViews>
  <sheetFormatPr baseColWidth="10" defaultColWidth="8.83203125" defaultRowHeight="14"/>
  <cols>
    <col min="1" max="1" width="21" customWidth="1"/>
    <col min="2" max="2" width="52" customWidth="1"/>
    <col min="3" max="3" width="27" customWidth="1"/>
    <col min="4" max="4" width="14" customWidth="1"/>
  </cols>
  <sheetData>
    <row r="1" spans="1:4" ht="37.25" customHeight="1">
      <c r="A1" s="26" t="s">
        <v>74</v>
      </c>
      <c r="B1" s="27"/>
      <c r="C1" s="27"/>
      <c r="D1" s="28"/>
    </row>
    <row r="2" spans="1:4">
      <c r="A2" s="3"/>
      <c r="D2" s="4"/>
    </row>
    <row r="3" spans="1:4" ht="16">
      <c r="A3" s="5" t="s">
        <v>0</v>
      </c>
      <c r="B3" s="1" t="s">
        <v>1</v>
      </c>
      <c r="C3" s="1" t="s">
        <v>2</v>
      </c>
      <c r="D3" s="6" t="s">
        <v>3</v>
      </c>
    </row>
    <row r="4" spans="1:4" ht="30">
      <c r="A4" s="7" t="s">
        <v>4</v>
      </c>
      <c r="B4" s="2" t="s">
        <v>5</v>
      </c>
      <c r="C4" s="2" t="s">
        <v>6</v>
      </c>
      <c r="D4" s="8" t="s">
        <v>7</v>
      </c>
    </row>
    <row r="5" spans="1:4" ht="30">
      <c r="A5" s="7" t="s">
        <v>8</v>
      </c>
      <c r="B5" s="2" t="s">
        <v>9</v>
      </c>
      <c r="C5" s="2" t="s">
        <v>6</v>
      </c>
      <c r="D5" s="8" t="s">
        <v>10</v>
      </c>
    </row>
    <row r="6" spans="1:4" ht="30">
      <c r="A6" s="7" t="s">
        <v>11</v>
      </c>
      <c r="B6" s="2" t="s">
        <v>12</v>
      </c>
      <c r="C6" s="2" t="s">
        <v>13</v>
      </c>
      <c r="D6" s="8" t="s">
        <v>14</v>
      </c>
    </row>
    <row r="7" spans="1:4">
      <c r="A7" s="3"/>
      <c r="D7" s="4"/>
    </row>
    <row r="8" spans="1:4" ht="15">
      <c r="A8" s="29" t="s">
        <v>15</v>
      </c>
      <c r="B8" s="30"/>
      <c r="C8" s="30"/>
      <c r="D8" s="31"/>
    </row>
    <row r="9" spans="1:4" ht="15">
      <c r="A9" s="7" t="s">
        <v>16</v>
      </c>
      <c r="B9" s="24" t="s">
        <v>17</v>
      </c>
      <c r="C9" s="24"/>
      <c r="D9" s="25"/>
    </row>
    <row r="10" spans="1:4" ht="15">
      <c r="A10" s="7" t="s">
        <v>18</v>
      </c>
      <c r="B10" s="24" t="s">
        <v>75</v>
      </c>
      <c r="C10" s="24"/>
      <c r="D10" s="25"/>
    </row>
    <row r="11" spans="1:4" ht="15">
      <c r="A11" s="7" t="s">
        <v>19</v>
      </c>
      <c r="B11" s="24" t="s">
        <v>20</v>
      </c>
      <c r="C11" s="24"/>
      <c r="D11" s="25"/>
    </row>
    <row r="12" spans="1:4" ht="15">
      <c r="A12" s="7" t="s">
        <v>21</v>
      </c>
      <c r="B12" s="24" t="s">
        <v>22</v>
      </c>
      <c r="C12" s="24"/>
      <c r="D12" s="25"/>
    </row>
    <row r="13" spans="1:4">
      <c r="A13" s="3"/>
      <c r="D13" s="4"/>
    </row>
  </sheetData>
  <mergeCells count="6">
    <mergeCell ref="B12:D12"/>
    <mergeCell ref="A1:D1"/>
    <mergeCell ref="A8:D8"/>
    <mergeCell ref="B9:D9"/>
    <mergeCell ref="B10:D10"/>
    <mergeCell ref="B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selection activeCell="C12" sqref="C12"/>
    </sheetView>
  </sheetViews>
  <sheetFormatPr baseColWidth="10" defaultColWidth="8.83203125" defaultRowHeight="14"/>
  <cols>
    <col min="1" max="1" width="42" customWidth="1"/>
    <col min="2" max="2" width="20" customWidth="1"/>
    <col min="3" max="4" width="18" customWidth="1"/>
    <col min="5" max="5" width="34" customWidth="1"/>
  </cols>
  <sheetData>
    <row r="1" spans="1:5" ht="37.25" customHeight="1">
      <c r="A1" s="22" t="s">
        <v>23</v>
      </c>
      <c r="B1" s="22"/>
      <c r="C1" s="22"/>
      <c r="D1" s="22"/>
      <c r="E1" s="22"/>
    </row>
    <row r="2" spans="1:5" ht="15">
      <c r="A2" s="23" t="s">
        <v>24</v>
      </c>
      <c r="B2" s="23"/>
      <c r="C2" s="23"/>
      <c r="D2" s="23"/>
      <c r="E2" s="23"/>
    </row>
    <row r="4" spans="1:5" ht="32">
      <c r="A4" s="10" t="s">
        <v>25</v>
      </c>
      <c r="B4" s="11" t="s">
        <v>26</v>
      </c>
      <c r="C4" s="11" t="s">
        <v>27</v>
      </c>
      <c r="D4" s="11" t="s">
        <v>28</v>
      </c>
      <c r="E4" s="12" t="s">
        <v>29</v>
      </c>
    </row>
    <row r="5" spans="1:5" ht="45">
      <c r="A5" s="7" t="s">
        <v>30</v>
      </c>
      <c r="B5" s="9" t="s">
        <v>78</v>
      </c>
      <c r="C5" s="18">
        <v>0</v>
      </c>
      <c r="D5" s="19">
        <v>1</v>
      </c>
      <c r="E5" s="13" t="s">
        <v>77</v>
      </c>
    </row>
    <row r="6" spans="1:5" ht="30">
      <c r="A6" s="7" t="s">
        <v>31</v>
      </c>
      <c r="B6" s="9" t="s">
        <v>78</v>
      </c>
      <c r="C6" s="18">
        <v>0.33333333333333331</v>
      </c>
      <c r="D6" s="18">
        <v>0.9375</v>
      </c>
      <c r="E6" s="13" t="s">
        <v>79</v>
      </c>
    </row>
    <row r="7" spans="1:5" ht="30">
      <c r="A7" s="7" t="s">
        <v>32</v>
      </c>
      <c r="B7" s="9" t="s">
        <v>78</v>
      </c>
      <c r="C7" s="18">
        <v>0</v>
      </c>
      <c r="D7" s="19">
        <v>1</v>
      </c>
      <c r="E7" s="13" t="s">
        <v>80</v>
      </c>
    </row>
    <row r="8" spans="1:5" ht="15">
      <c r="A8" s="7" t="s">
        <v>33</v>
      </c>
      <c r="B8" s="9" t="s">
        <v>78</v>
      </c>
      <c r="C8" s="18">
        <v>0</v>
      </c>
      <c r="D8" s="19">
        <v>1</v>
      </c>
      <c r="E8" s="13" t="s">
        <v>81</v>
      </c>
    </row>
    <row r="9" spans="1:5" ht="60">
      <c r="A9" s="7" t="s">
        <v>34</v>
      </c>
      <c r="B9" s="9" t="s">
        <v>82</v>
      </c>
      <c r="C9" s="9"/>
      <c r="D9" s="9"/>
      <c r="E9" s="13" t="s">
        <v>83</v>
      </c>
    </row>
    <row r="10" spans="1:5" ht="15">
      <c r="A10" s="7" t="s">
        <v>35</v>
      </c>
      <c r="B10" s="9" t="s">
        <v>78</v>
      </c>
      <c r="C10" s="18"/>
      <c r="D10" s="19"/>
      <c r="E10" s="13" t="s">
        <v>107</v>
      </c>
    </row>
    <row r="11" spans="1:5" ht="15">
      <c r="A11" s="7" t="s">
        <v>36</v>
      </c>
      <c r="B11" s="9" t="s">
        <v>82</v>
      </c>
      <c r="C11" s="9"/>
      <c r="D11" s="9"/>
      <c r="E11" s="13"/>
    </row>
    <row r="12" spans="1:5" ht="30">
      <c r="A12" s="7" t="s">
        <v>37</v>
      </c>
      <c r="B12" s="9" t="s">
        <v>78</v>
      </c>
      <c r="C12" s="9"/>
      <c r="D12" s="9"/>
      <c r="E12" s="13" t="s">
        <v>86</v>
      </c>
    </row>
    <row r="13" spans="1:5" ht="15">
      <c r="A13" s="14" t="s">
        <v>38</v>
      </c>
      <c r="B13" s="15" t="s">
        <v>82</v>
      </c>
      <c r="C13" s="15"/>
      <c r="D13" s="15"/>
      <c r="E13" s="16"/>
    </row>
    <row r="14" spans="1:5">
      <c r="A14" t="s">
        <v>31</v>
      </c>
      <c r="B14" t="s">
        <v>78</v>
      </c>
      <c r="C14" s="20">
        <v>0.33333333333333331</v>
      </c>
      <c r="D14" s="21">
        <v>1.0208333333333333</v>
      </c>
      <c r="E14" t="s">
        <v>85</v>
      </c>
    </row>
    <row r="15" spans="1:5">
      <c r="A15" t="s">
        <v>111</v>
      </c>
      <c r="B15" t="s">
        <v>78</v>
      </c>
      <c r="C15" s="20">
        <v>0</v>
      </c>
      <c r="D15" s="21">
        <v>1</v>
      </c>
    </row>
    <row r="16" spans="1:5">
      <c r="A16" t="s">
        <v>112</v>
      </c>
      <c r="B16" t="s">
        <v>78</v>
      </c>
      <c r="C16" s="20">
        <v>0.35416666666666669</v>
      </c>
      <c r="D16" s="21">
        <v>0.66666666666666663</v>
      </c>
      <c r="E16" t="s">
        <v>115</v>
      </c>
    </row>
    <row r="17" spans="1:5">
      <c r="A17" t="s">
        <v>112</v>
      </c>
      <c r="B17" t="s">
        <v>78</v>
      </c>
      <c r="C17" s="20">
        <v>0.35416666666666669</v>
      </c>
      <c r="D17" s="21">
        <v>0.83333333333333337</v>
      </c>
      <c r="E17" t="s">
        <v>114</v>
      </c>
    </row>
    <row r="18" spans="1:5">
      <c r="A18" t="s">
        <v>116</v>
      </c>
      <c r="B18" t="s">
        <v>78</v>
      </c>
      <c r="C18" s="20">
        <v>0</v>
      </c>
      <c r="D18" s="21">
        <v>1</v>
      </c>
    </row>
    <row r="19" spans="1:5">
      <c r="A19" t="s">
        <v>113</v>
      </c>
      <c r="B19" t="s">
        <v>78</v>
      </c>
      <c r="C19" s="20">
        <v>0.33333333333333331</v>
      </c>
      <c r="D19" s="21">
        <v>1</v>
      </c>
    </row>
    <row r="20" spans="1:5">
      <c r="A20" t="s">
        <v>103</v>
      </c>
      <c r="B20" t="s">
        <v>78</v>
      </c>
      <c r="C20" s="20">
        <v>0.33333333333333331</v>
      </c>
      <c r="D20" s="20">
        <v>0.83333333333333337</v>
      </c>
      <c r="E20" t="s">
        <v>117</v>
      </c>
    </row>
    <row r="21" spans="1:5">
      <c r="A21" t="s">
        <v>103</v>
      </c>
      <c r="B21" t="s">
        <v>78</v>
      </c>
      <c r="C21" s="20">
        <v>0.33333333333333331</v>
      </c>
      <c r="D21" s="20">
        <v>0.58333333333333337</v>
      </c>
      <c r="E21" t="s">
        <v>118</v>
      </c>
    </row>
    <row r="22" spans="1:5">
      <c r="A22" t="s">
        <v>108</v>
      </c>
      <c r="B22" t="s">
        <v>78</v>
      </c>
      <c r="C22" s="20">
        <v>0.33333333333333331</v>
      </c>
      <c r="D22" s="20">
        <v>0.66666666666666663</v>
      </c>
      <c r="E22" t="s">
        <v>119</v>
      </c>
    </row>
  </sheetData>
  <mergeCells count="2">
    <mergeCell ref="A1:E1"/>
    <mergeCell ref="A2:E2"/>
  </mergeCells>
  <dataValidations count="3">
    <dataValidation type="list" sqref="B5:B22" xr:uid="{00000000-0002-0000-0100-000000000000}">
      <formula1>"Yes,No"</formula1>
    </dataValidation>
    <dataValidation sqref="C5:C22" xr:uid="{00000000-0002-0000-0100-000001000000}">
      <formula1>0</formula1>
      <formula2>23</formula2>
    </dataValidation>
    <dataValidation sqref="D5:D22" xr:uid="{00000000-0002-0000-0100-000002000000}">
      <formula1>1</formula1>
      <formula2>24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abSelected="1" workbookViewId="0">
      <selection activeCell="G5" sqref="G5"/>
    </sheetView>
  </sheetViews>
  <sheetFormatPr baseColWidth="10" defaultColWidth="8.83203125" defaultRowHeight="14"/>
  <cols>
    <col min="1" max="1" width="42" customWidth="1"/>
    <col min="2" max="2" width="30" customWidth="1"/>
    <col min="3" max="3" width="27.83203125" customWidth="1"/>
    <col min="4" max="4" width="48" customWidth="1"/>
  </cols>
  <sheetData>
    <row r="1" spans="1:4" ht="37.25" customHeight="1">
      <c r="A1" s="22" t="s">
        <v>39</v>
      </c>
      <c r="B1" s="22"/>
      <c r="C1" s="22"/>
      <c r="D1" s="22"/>
    </row>
    <row r="2" spans="1:4" ht="15">
      <c r="A2" s="23" t="s">
        <v>40</v>
      </c>
      <c r="B2" s="23"/>
      <c r="C2" s="23"/>
      <c r="D2" s="23"/>
    </row>
    <row r="4" spans="1:4" ht="16">
      <c r="A4" s="10" t="s">
        <v>41</v>
      </c>
      <c r="B4" s="11" t="s">
        <v>42</v>
      </c>
      <c r="C4" s="11" t="s">
        <v>43</v>
      </c>
      <c r="D4" s="12" t="s">
        <v>44</v>
      </c>
    </row>
    <row r="5" spans="1:4" ht="15">
      <c r="A5" s="7" t="s">
        <v>45</v>
      </c>
      <c r="B5" s="2" t="s">
        <v>46</v>
      </c>
      <c r="C5" s="9">
        <v>15</v>
      </c>
      <c r="D5" s="13" t="s">
        <v>87</v>
      </c>
    </row>
    <row r="6" spans="1:4" ht="15">
      <c r="A6" s="7" t="s">
        <v>47</v>
      </c>
      <c r="B6" s="2" t="s">
        <v>48</v>
      </c>
      <c r="C6" s="9">
        <v>0</v>
      </c>
      <c r="D6" s="13" t="s">
        <v>88</v>
      </c>
    </row>
    <row r="7" spans="1:4" ht="15">
      <c r="A7" s="7" t="s">
        <v>49</v>
      </c>
      <c r="B7" s="2" t="s">
        <v>50</v>
      </c>
      <c r="C7" s="9">
        <v>8</v>
      </c>
      <c r="D7" s="13"/>
    </row>
    <row r="8" spans="1:4" ht="15">
      <c r="A8" s="7" t="s">
        <v>51</v>
      </c>
      <c r="B8" s="2" t="s">
        <v>48</v>
      </c>
      <c r="C8" s="9">
        <v>34</v>
      </c>
      <c r="D8" s="13" t="s">
        <v>120</v>
      </c>
    </row>
    <row r="9" spans="1:4" ht="30">
      <c r="A9" s="7" t="s">
        <v>52</v>
      </c>
      <c r="B9" s="2" t="s">
        <v>48</v>
      </c>
      <c r="C9" s="9">
        <v>6</v>
      </c>
      <c r="D9" s="13" t="s">
        <v>89</v>
      </c>
    </row>
    <row r="10" spans="1:4" ht="15">
      <c r="A10" s="7" t="s">
        <v>53</v>
      </c>
      <c r="B10" s="2" t="s">
        <v>33</v>
      </c>
      <c r="C10" s="9">
        <v>12</v>
      </c>
      <c r="D10" s="13" t="s">
        <v>122</v>
      </c>
    </row>
    <row r="11" spans="1:4" ht="30">
      <c r="A11" s="7" t="s">
        <v>54</v>
      </c>
      <c r="B11" s="2" t="s">
        <v>55</v>
      </c>
      <c r="C11" s="9">
        <v>3</v>
      </c>
      <c r="D11" s="13" t="s">
        <v>90</v>
      </c>
    </row>
    <row r="12" spans="1:4" ht="15">
      <c r="A12" s="7" t="s">
        <v>56</v>
      </c>
      <c r="B12" s="2" t="s">
        <v>55</v>
      </c>
      <c r="C12" s="9">
        <v>3</v>
      </c>
      <c r="D12" s="13" t="s">
        <v>91</v>
      </c>
    </row>
    <row r="13" spans="1:4" ht="15">
      <c r="A13" s="7" t="s">
        <v>57</v>
      </c>
      <c r="B13" s="2" t="s">
        <v>58</v>
      </c>
      <c r="C13" s="9">
        <v>0</v>
      </c>
      <c r="D13" s="13" t="s">
        <v>92</v>
      </c>
    </row>
    <row r="14" spans="1:4" ht="15">
      <c r="A14" s="7" t="s">
        <v>59</v>
      </c>
      <c r="B14" s="2" t="s">
        <v>60</v>
      </c>
      <c r="C14" s="9" t="s">
        <v>97</v>
      </c>
      <c r="D14" s="13" t="s">
        <v>98</v>
      </c>
    </row>
    <row r="15" spans="1:4" ht="15">
      <c r="A15" s="7" t="s">
        <v>61</v>
      </c>
      <c r="B15" s="2" t="s">
        <v>62</v>
      </c>
      <c r="C15" s="9">
        <v>0</v>
      </c>
      <c r="D15" s="13"/>
    </row>
    <row r="16" spans="1:4" ht="15">
      <c r="A16" s="7" t="s">
        <v>63</v>
      </c>
      <c r="B16" s="2" t="s">
        <v>37</v>
      </c>
      <c r="C16" s="9" t="s">
        <v>93</v>
      </c>
      <c r="D16" s="13" t="s">
        <v>84</v>
      </c>
    </row>
    <row r="17" spans="1:4" ht="15">
      <c r="A17" s="7" t="s">
        <v>64</v>
      </c>
      <c r="B17" s="2" t="s">
        <v>65</v>
      </c>
      <c r="C17" s="9">
        <v>1</v>
      </c>
      <c r="D17" s="13"/>
    </row>
    <row r="18" spans="1:4" ht="15">
      <c r="A18" s="14" t="s">
        <v>66</v>
      </c>
      <c r="B18" s="17" t="s">
        <v>67</v>
      </c>
      <c r="C18" s="15">
        <v>3</v>
      </c>
      <c r="D18" s="16" t="s">
        <v>94</v>
      </c>
    </row>
    <row r="19" spans="1:4">
      <c r="A19" t="s">
        <v>76</v>
      </c>
    </row>
    <row r="20" spans="1:4">
      <c r="A20" t="s">
        <v>95</v>
      </c>
      <c r="C20">
        <v>5</v>
      </c>
      <c r="D20" t="s">
        <v>96</v>
      </c>
    </row>
    <row r="21" spans="1:4">
      <c r="A21" t="s">
        <v>99</v>
      </c>
      <c r="C21">
        <v>30</v>
      </c>
      <c r="D21" t="s">
        <v>100</v>
      </c>
    </row>
    <row r="22" spans="1:4">
      <c r="A22" t="s">
        <v>101</v>
      </c>
      <c r="C22">
        <v>30</v>
      </c>
      <c r="D22" t="s">
        <v>102</v>
      </c>
    </row>
    <row r="23" spans="1:4">
      <c r="A23" t="s">
        <v>103</v>
      </c>
      <c r="C23" t="s">
        <v>93</v>
      </c>
      <c r="D23" t="s">
        <v>106</v>
      </c>
    </row>
    <row r="24" spans="1:4">
      <c r="A24" t="s">
        <v>104</v>
      </c>
      <c r="C24" t="s">
        <v>93</v>
      </c>
      <c r="D24" t="s">
        <v>105</v>
      </c>
    </row>
    <row r="25" spans="1:4">
      <c r="A25" t="s">
        <v>109</v>
      </c>
      <c r="C25" t="s">
        <v>93</v>
      </c>
      <c r="D25" t="s">
        <v>110</v>
      </c>
    </row>
    <row r="26" spans="1:4">
      <c r="A26" t="s">
        <v>121</v>
      </c>
      <c r="C26">
        <v>9</v>
      </c>
    </row>
  </sheetData>
  <mergeCells count="2">
    <mergeCell ref="A1:D1"/>
    <mergeCell ref="A2:D2"/>
  </mergeCells>
  <dataValidations count="1">
    <dataValidation sqref="C5:C26" xr:uid="{00000000-0002-0000-02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B12" sqref="B12"/>
    </sheetView>
  </sheetViews>
  <sheetFormatPr baseColWidth="10" defaultColWidth="8.83203125" defaultRowHeight="14"/>
  <cols>
    <col min="1" max="1" width="48" customWidth="1"/>
    <col min="2" max="2" width="24" customWidth="1"/>
    <col min="3" max="3" width="45" customWidth="1"/>
  </cols>
  <sheetData>
    <row r="1" spans="1:3" ht="37.25" customHeight="1">
      <c r="A1" s="22" t="s">
        <v>68</v>
      </c>
      <c r="B1" s="22"/>
      <c r="C1" s="22"/>
    </row>
    <row r="2" spans="1:3" ht="15">
      <c r="A2" s="23" t="s">
        <v>69</v>
      </c>
      <c r="B2" s="23"/>
      <c r="C2" s="23"/>
    </row>
    <row r="4" spans="1:3" ht="16">
      <c r="A4" s="10" t="s">
        <v>70</v>
      </c>
      <c r="B4" s="11" t="s">
        <v>71</v>
      </c>
      <c r="C4" s="12" t="s">
        <v>72</v>
      </c>
    </row>
    <row r="5" spans="1:3" ht="45">
      <c r="A5" s="14" t="s">
        <v>73</v>
      </c>
      <c r="B5" s="15">
        <v>1</v>
      </c>
      <c r="C5" s="16" t="s">
        <v>123</v>
      </c>
    </row>
  </sheetData>
  <mergeCells count="2">
    <mergeCell ref="A1:C1"/>
    <mergeCell ref="A2:C2"/>
  </mergeCells>
  <dataValidations count="1">
    <dataValidation sqref="B5" xr:uid="{00000000-0002-0000-0300-000000000000}">
      <formula1>0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Areas &amp; Hours</vt:lpstr>
      <vt:lpstr>Physical Capacity</vt:lpstr>
      <vt:lpstr>Community 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Yasmin Peiris</cp:lastModifiedBy>
  <dcterms:created xsi:type="dcterms:W3CDTF">2026-08-20T12:33:13Z</dcterms:created>
  <dcterms:modified xsi:type="dcterms:W3CDTF">2026-08-20T13:36:33Z</dcterms:modified>
</cp:coreProperties>
</file>